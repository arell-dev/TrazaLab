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7ffa590e654a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7c04cbfcca10480e"/>
    <x:sheet xmlns:r="http://schemas.openxmlformats.org/officeDocument/2006/relationships" name="Trazabilidad" sheetId="2" r:id="Re39cd28dd95f4c21"/>
    <x:sheet xmlns:r="http://schemas.openxmlformats.org/officeDocument/2006/relationships" name="SOLID" sheetId="3" r:id="R7010c929016a4d2b"/>
    <x:sheet xmlns:r="http://schemas.openxmlformats.org/officeDocument/2006/relationships" name="TDD" sheetId="4" r:id="R0b4eae42bf984e87"/>
    <x:sheet xmlns:r="http://schemas.openxmlformats.org/officeDocument/2006/relationships" name="Evidencias" sheetId="5" r:id="Rd57308f9f6884f93"/>
    <x:sheet xmlns:r="http://schemas.openxmlformats.org/officeDocument/2006/relationships" name="Transferencia_PI" sheetId="6" r:id="R9f1bacdeda7e4eb0"/>
  </x:sheets>
</x:workbook>
</file>

<file path=xl/sharedStrings.xml><?xml version="1.0" encoding="utf-8"?>
<x:sst xmlns:x="http://schemas.openxmlformats.org/spreadsheetml/2006/main">
  <x:si>
    <x:t xml:space="preserve">Indicador</x:t>
  </x:si>
  <x:si>
    <x:t xml:space="preserve">Valor</x:t>
  </x:si>
  <x:si>
    <x:t xml:space="preserve">Cadena de trabajo</x:t>
  </x:si>
  <x:si>
    <x:t xml:space="preserve">Flujos trazados</x:t>
  </x:si>
  <x:si>
    <x:t xml:space="preserve">Criterios SOLID revisados</x:t>
  </x:si>
  <x:si>
    <x:t xml:space="preserve">Estado</x:t>
  </x:si>
  <x:si>
    <x:t xml:space="preserve">Detalle</x:t>
  </x:si>
  <x:si>
    <x:t xml:space="preserve">Acción</x:t>
  </x:si>
  <x:si>
    <x:t xml:space="preserve">Flujos en Verde</x:t>
  </x:si>
  <x:si>
    <x:t xml:space="preserve">Verde</x:t>
  </x:si>
  <x:si>
    <x:t xml:space="preserve">Traza completa; listo para ejecutar</x:t>
  </x:si>
  <x:si>
    <x:t xml:space="preserve">Iniciar desarrollo y TDD</x:t>
  </x:si>
  <x:si>
    <x:t xml:space="preserve">Proporción de flujos en Verde</x:t>
  </x:si>
  <x:si>
    <x:t xml:space="preserve">Amarillo</x:t>
  </x:si>
  <x:si>
    <x:t xml:space="preserve">Flujo pendiente de construir o definir</x:t>
  </x:si>
  <x:si>
    <x:t xml:space="preserve">Completar diseño</x:t>
  </x:si>
  <x:si>
    <x:t xml:space="preserve">Rojo</x:t>
  </x:si>
  <x:si>
    <x:t xml:space="preserve">Cadena incompleta o incoherente</x:t>
  </x:si>
  <x:si>
    <x:t xml:space="preserve">Resolver vínculos</x:t>
  </x:si>
  <x:si>
    <x:t xml:space="preserve">Principio</x:t>
  </x:si>
  <x:si>
    <x:t xml:space="preserve">Pregunta de revisión</x:t>
  </x:si>
  <x:si>
    <x:t xml:space="preserve">Evidencia en el diseño</x:t>
  </x:si>
  <x:si>
    <x:t xml:space="preserve">Riesgo si falla</x:t>
  </x:si>
  <x:si>
    <x:t xml:space="preserve">Observación</x:t>
  </x:si>
  <x:si>
    <x:t xml:space="preserve">ID</x:t>
  </x:si>
  <x:si>
    <x:t xml:space="preserve">Comportamiento</x:t>
  </x:si>
  <x:si>
    <x:t xml:space="preserve">Dado</x:t>
  </x:si>
  <x:si>
    <x:t xml:space="preserve">Cuando</x:t>
  </x:si>
  <x:si>
    <x:t xml:space="preserve">Entonces</x:t>
  </x:si>
  <x:si>
    <x:t xml:space="preserve">Unidad</x:t>
  </x:si>
  <x:si>
    <x:t xml:space="preserve">Dependencia a aislar</x:t>
  </x:si>
  <x:si>
    <x:t xml:space="preserve">Evidencia esperada</x:t>
  </x:si>
  <x:si>
    <x:t xml:space="preserve">PI-T01</x:t>
  </x:si>
  <x:si>
    <x:t xml:space="preserve">Registrar incidencia válida</x:t>
  </x:si>
  <x:si>
    <x:t xml:space="preserve">Usuario activo con permiso, computadora existente y datos obligatorios válidos.</x:t>
  </x:si>
  <x:si>
    <x:t xml:space="preserve">Guarda la incidencia vinculada al usuario y a la computadora.</x:t>
  </x:si>
  <x:si>
    <x:t xml:space="preserve">Resultado del servicio y verificación de las referencias enviadas a persistencia.</x:t>
  </x:si>
  <x:si>
    <x:t xml:space="preserve">PI-T02</x:t>
  </x:si>
  <x:si>
    <x:t xml:space="preserve">Rechazar usuario inactivo</x:t>
  </x:si>
  <x:si>
    <x:t xml:space="preserve">Usuario inactivo y solicitud con datos válidos.</x:t>
  </x:si>
  <x:si>
    <x:t xml:space="preserve">Excepción/resultado controlado y verificación de que no se guardó.</x:t>
  </x:si>
  <x:si>
    <x:t xml:space="preserve">PI-T03</x:t>
  </x:si>
  <x:si>
    <x:t xml:space="preserve">Rechazar usuario sin permiso</x:t>
  </x:si>
  <x:si>
    <x:t xml:space="preserve">Usuario autenticado sin permiso para registrar incidencias.</x:t>
  </x:si>
  <x:si>
    <x:t xml:space="preserve">Devuelve acceso denegado y no ejecuta la operación protegida.</x:t>
  </x:si>
  <x:si>
    <x:t xml:space="preserve">Spring Security Test; servicio simulado.</x:t>
  </x:si>
  <x:si>
    <x:t xml:space="preserve">Prueba de autorización para acceso permitido y denegado.</x:t>
  </x:si>
  <x:si>
    <x:t xml:space="preserve">PI-T04</x:t>
  </x:si>
  <x:si>
    <x:t xml:space="preserve">Validar datos obligatorios</x:t>
  </x:si>
  <x:si>
    <x:t xml:space="preserve">PI-T05</x:t>
  </x:si>
  <x:si>
    <x:t xml:space="preserve">Encontrar computadora por QR</x:t>
  </x:si>
  <x:si>
    <x:t xml:space="preserve">Código QR asociado a una computadora registrada.</x:t>
  </x:si>
  <x:si>
    <x:t xml:space="preserve">Devuelve únicamente la computadora correspondiente al QR.</x:t>
  </x:si>
  <x:si>
    <x:t xml:space="preserve">Resultado asociado al equipo esperado.</x:t>
  </x:si>
  <x:si>
    <x:t xml:space="preserve">PI-T06</x:t>
  </x:si>
  <x:si>
    <x:t xml:space="preserve">Controlar QR inexistente</x:t>
  </x:si>
  <x:si>
    <x:t xml:space="preserve">Código QR no registrado.</x:t>
  </x:si>
  <x:si>
    <x:t xml:space="preserve">Resultado controlado para QR desconocido.</x:t>
  </x:si>
  <x:si>
    <x:t xml:space="preserve">PI-T07</x:t>
  </x:si>
  <x:si>
    <x:t xml:space="preserve">Consultar historial de un equipo</x:t>
  </x:si>
  <x:si>
    <x:t xml:space="preserve">Equipo con incidencias y mantenimientos de distintas fechas.</x:t>
  </x:si>
  <x:si>
    <x:t xml:space="preserve">Devuelve solo el historial del equipo y lo ordena cronológicamente.</x:t>
  </x:si>
  <x:si>
    <x:t xml:space="preserve">Verificación del filtro por equipo y orden de fechas.</x:t>
  </x:si>
  <x:si>
    <x:t xml:space="preserve">PI-T08</x:t>
  </x:si>
  <x:si>
    <x:t xml:space="preserve">Rechazar tipo de falla inexistente</x:t>
  </x:si>
  <x:si>
    <x:t xml:space="preserve">Solicitud con tipo de falla que no pertenece al catálogo.</x:t>
  </x:si>
  <x:si>
    <x:t xml:space="preserve">Rechaza el registro y no persiste una falla inválida.</x:t>
  </x:si>
  <x:si>
    <x:t xml:space="preserve">Regla de catálogo e integridad referencial.</x:t>
  </x:si>
  <x:si>
    <x:t xml:space="preserve">PI-T09</x:t>
  </x:si>
  <x:si>
    <x:t xml:space="preserve">Mantener consistencia del mantenimiento</x:t>
  </x:si>
  <x:si>
    <x:t xml:space="preserve">Usuario sin rol técnico o falla asociada a otra computadora.</x:t>
  </x:si>
  <x:si>
    <x:t xml:space="preserve">Rechaza la operación y no deja cabecera ni detalle parcial.</x:t>
  </x:si>
  <x:si>
    <x:t xml:space="preserve">Regla de autorización/vínculo y atomicidad transaccional.</x:t>
  </x:si>
  <x:si>
    <x:t xml:space="preserve">PI-T10</x:t>
  </x:si>
  <x:si>
    <x:t xml:space="preserve">Rechazar estado de equipo no permitido</x:t>
  </x:si>
  <x:si>
    <x:t xml:space="preserve">Computadora existente y estado fuera del catálogo operativo.</x:t>
  </x:si>
  <x:si>
    <x:t xml:space="preserve">Rechaza el cambio y conserva el estado anterior.</x:t>
  </x:si>
  <x:si>
    <x:t xml:space="preserve">Prueba de estados permitidos y conservación del estado.</x:t>
  </x:si>
  <x:si>
    <x:t xml:space="preserve">PI-T11</x:t>
  </x:si>
  <x:si>
    <x:t xml:space="preserve">Persistir incidencia y relaciones en PostgreSQL</x:t>
  </x:si>
  <x:si>
    <x:t xml:space="preserve">Usuario y computadora válidos guardados en la base de datos de prueba.</x:t>
  </x:si>
  <x:si>
    <x:t xml:space="preserve">PI-T12</x:t>
  </x:si>
  <x:si>
    <x:t xml:space="preserve">Identificar fallas recurrentes con el criterio acordado</x:t>
  </x:si>
  <x:si>
    <x:t xml:space="preserve">Incidencias y fallas del equipo dentro del período configurado.</x:t>
  </x:si>
  <x:si>
    <x:t xml:space="preserve">Prioriza el equipo solo cuando alcanza el criterio de recurrencia definido para el piloto.</x:t>
  </x:si>
  <x:si>
    <x:t xml:space="preserve">Resultados en ambos lados del umbral aprobado.</x:t>
  </x:si>
  <x:si>
    <x:t xml:space="preserve">Tipo</x:t>
  </x:si>
  <x:si>
    <x:t xml:space="preserve">Descripción</x:t>
  </x:si>
  <x:si>
    <x:t xml:space="preserve">Archivo / ubicación</x:t>
  </x:si>
  <x:si>
    <x:t xml:space="preserve">Qué demuestra</x:t>
  </x:si>
  <x:si>
    <x:t xml:space="preserve">Relacionado con</x:t>
  </x:si>
  <x:si>
    <x:t xml:space="preserve">Responsable</x:t>
  </x:si>
</x:sst>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name val="Carlito"/>
    </x:font>
    <x:font>
      <x:i/>
      <x:sz val="10"/>
      <x:color rgb="FF7A4E00"/>
      <x:name val="Carlito"/>
    </x:font>
    <x:font>
      <x:b/>
      <x:sz val="14"/>
      <x:color rgb="FFFFFFFF"/>
      <x:name val="Arial"/>
    </x:font>
    <x:font>
      <x:i/>
      <x:sz val="10"/>
      <x:color rgb="FF111827"/>
      <x:name val="Arial"/>
    </x:font>
    <x:font>
      <x:sz val="10"/>
      <x:color rgb="FF111827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B91C1C"/>
      </x:patternFill>
    </x:fill>
    <x:fill>
      <x:patternFill patternType="solid">
        <x:fgColor rgb="FF1F2937"/>
      </x:patternFill>
    </x:fill>
    <x:fill>
      <x:patternFill patternType="solid">
        <x:fgColor rgb="FFFFF7CC"/>
      </x:patternFill>
    </x:fill>
    <x:fill>
      <x:patternFill patternType="solid">
        <x:fgColor rgb="FFB51C1C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2" fillId="3" borderId="0" xfId="0" applyFont="1" applyFill="1" applyAlignment="1">
      <x:alignment horizontal="center" vertical="center" wrapText="1"/>
    </x:xf>
    <x:xf numFmtId="0" fontId="3" fillId="0" borderId="0" xfId="0" applyFont="1" applyAlignment="1">
      <x:alignment vertical="top" wrapText="1"/>
    </x:xf>
    <x:xf numFmtId="9" fontId="3" fillId="0" borderId="0" xfId="0" applyNumberFormat="1" applyFont="1" applyAlignment="1">
      <x:alignment vertical="top" wrapText="1"/>
    </x:xf>
    <x:xf numFmtId="0" fontId="4" fillId="4" borderId="0" xfId="0" applyFont="1" applyFill="1" applyAlignment="1">
      <x:alignment vertical="top" wrapText="1"/>
    </x:xf>
    <x:xf numFmtId="0" fontId="0" fillId="0" borderId="0" xfId="0" applyAlignment="1">
      <x:alignment wrapText="1"/>
    </x:xf>
    <x:xf numFmtId="0" fontId="5" fillId="5" borderId="0" xfId="0" applyFont="1" applyFill="1" applyAlignment="1">
      <x:alignment wrapText="1"/>
    </x:xf>
    <x:xf numFmtId="0" fontId="4" fillId="4" borderId="0" xfId="0" applyFont="1" applyFill="1" applyAlignment="1">
      <x:alignment vertical="center" wrapText="1"/>
    </x:xf>
    <x:xf numFmtId="0" fontId="0" fillId="0" borderId="0" xfId="0" applyAlignment="1">
      <x:alignment vertical="center" wrapText="1"/>
    </x:xf>
    <x:xf numFmtId="0" fontId="1" fillId="2" borderId="0" xfId="0" applyFont="1" applyFill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3" fillId="0" borderId="0" xfId="0" applyFont="1" applyAlignment="1">
      <x:alignment vertical="top"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 wrapText="1"/>
    </x:xf>
    <x:xf numFmtId="0" fontId="6" fillId="9" borderId="0" xfId="0" applyNumberFormat="1" applyFont="1" applyFill="1" applyBorder="1" applyAlignment="1">
      <x:alignment vertical="center" wrapText="1"/>
    </x:xf>
    <x:xf numFmtId="0" fontId="7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afceb45f054bf6" /><Relationship Type="http://schemas.openxmlformats.org/officeDocument/2006/relationships/theme" Target="/xl/theme/theme1.xml" Id="R6c8547e2d5c44fe3" /><Relationship Type="http://schemas.openxmlformats.org/officeDocument/2006/relationships/sharedStrings" Target="/xl/sharedStrings.xml" Id="R02733d86daba4b97" /><Relationship Type="http://schemas.openxmlformats.org/officeDocument/2006/relationships/worksheet" Target="/xl/worksheets/sheet1.xml" Id="R7c04cbfcca10480e" /><Relationship Type="http://schemas.openxmlformats.org/officeDocument/2006/relationships/worksheet" Target="/xl/worksheets/sheet2.xml" Id="Re39cd28dd95f4c21" /><Relationship Type="http://schemas.openxmlformats.org/officeDocument/2006/relationships/worksheet" Target="/xl/worksheets/sheet3.xml" Id="R7010c929016a4d2b" /><Relationship Type="http://schemas.openxmlformats.org/officeDocument/2006/relationships/worksheet" Target="/xl/worksheets/sheet4.xml" Id="R0b4eae42bf984e87" /><Relationship Type="http://schemas.openxmlformats.org/officeDocument/2006/relationships/worksheet" Target="/xl/worksheets/sheet5.xml" Id="Rd57308f9f6884f93" /><Relationship Type="http://schemas.openxmlformats.org/officeDocument/2006/relationships/worksheet" Target="/xl/worksheets/sheet6.xml" Id="R9f1bacdeda7e4e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10" defaultColWidth="9" defaultRowHeight="14.25"/>
  <x:cols>
    <x:col min="1" max="1" width="31" customWidth="1"/>
    <x:col min="2" max="2" width="16" customWidth="1"/>
  </x:cols>
  <x:sheetData>
    <x:row r="1" ht="20.25">
      <x:c r="A1" s="9" t="str">
        <x:v>TrazaLab · Trazabilidad y transferencia · 27/10/2026</x:v>
      </x:c>
      <x:c r="B1" s="9"/>
      <x:c r="C1" s="9"/>
      <x:c r="D1" s="9"/>
      <x:c r="E1" s="9"/>
      <x:c r="F1" s="9"/>
      <x:c r="G1" s="9"/>
      <x:c r="H1" s="9"/>
      <x:c r="I1" s="5"/>
      <x:c r="J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ht="15">
      <x:c r="A3" s="1" t="s">
        <x:v>0</x:v>
      </x:c>
      <x:c r="B3" s="1" t="s">
        <x:v>1</x:v>
      </x:c>
      <x:c r="C3" s="5"/>
      <x:c r="D3" s="10" t="s">
        <x:v>2</x:v>
      </x:c>
      <x:c r="E3" s="10"/>
      <x:c r="F3" s="10"/>
      <x:c r="G3" s="10"/>
      <x:c r="H3" s="10"/>
      <x:c r="I3" s="5"/>
      <x:c r="J3" s="5"/>
    </x:row>
    <x:row r="4">
      <x:c r="A4" s="2" t="s">
        <x:v>3</x:v>
      </x:c>
      <x:c r="B4" s="2" t="n">
        <x:f>COUNTA(Transferencia_PI!A4:A11)</x:f>
        <x:v>8</x:v>
      </x:c>
      <x:c r="C4" s="5"/>
      <x:c r="D4" s="11" t="str">
        <x:v>Requisito → entrada de consola o pantalla diseñada → controlador → servicio → repositorio JPA → PostgreSQL → prueba → evidencia</x:v>
      </x:c>
      <x:c r="E4" s="11"/>
      <x:c r="F4" s="11"/>
      <x:c r="G4" s="11"/>
      <x:c r="H4" s="11"/>
      <x:c r="I4" s="5"/>
      <x:c r="J4" s="5"/>
    </x:row>
    <x:row r="5">
      <x:c r="A5" s="2" t="str">
        <x:v>Pruebas aún diseñadas</x:v>
      </x:c>
      <x:c r="B5" s="2" t="n">
        <x:f>COUNTIF(TDD!H4:H15,"Diseñada")</x:f>
        <x:v>10</x:v>
      </x:c>
      <x:c r="C5" s="5"/>
      <x:c r="D5" s="11"/>
      <x:c r="E5" s="11"/>
      <x:c r="F5" s="11"/>
      <x:c r="G5" s="11"/>
      <x:c r="H5" s="11"/>
      <x:c r="I5" s="5"/>
      <x:c r="J5" s="5"/>
    </x:row>
    <x:row r="6">
      <x:c r="A6" s="2" t="str">
        <x:v>Evidencias pendientes</x:v>
      </x:c>
      <x:c r="B6" s="2" t="n">
        <x:f>COUNTIF(Evidencias!H4:H12,"Pendiente")</x:f>
        <x:v>2</x:v>
      </x:c>
      <x:c r="C6" s="5"/>
      <x:c r="D6" s="5"/>
      <x:c r="E6" s="5"/>
      <x:c r="F6" s="5"/>
      <x:c r="G6" s="5"/>
      <x:c r="H6" s="5"/>
      <x:c r="I6" s="5"/>
      <x:c r="J6" s="5"/>
    </x:row>
    <x:row r="7" ht="15">
      <x:c r="A7" s="2" t="s">
        <x:v>4</x:v>
      </x:c>
      <x:c r="B7" s="2" t="n">
        <x:f>COUNTA(SOLID!A4:A8)</x:f>
        <x:v>5</x:v>
      </x:c>
      <x:c r="C7" s="5"/>
      <x:c r="D7" s="1" t="s">
        <x:v>5</x:v>
      </x:c>
      <x:c r="E7" s="1" t="s">
        <x:v>6</x:v>
      </x:c>
      <x:c r="F7" s="1" t="s">
        <x:v>7</x:v>
      </x:c>
      <x:c r="G7" s="1"/>
      <x:c r="H7" s="1"/>
      <x:c r="I7" s="5"/>
      <x:c r="J7" s="5"/>
    </x:row>
    <x:row r="8" ht="51">
      <x:c r="A8" s="2" t="s">
        <x:v>8</x:v>
      </x:c>
      <x:c r="B8" s="2" t="n">
        <x:f>COUNTIF(Transferencia_PI!J4:J11,"Verde")</x:f>
        <x:v>0</x:v>
      </x:c>
      <x:c r="C8" s="5"/>
      <x:c r="D8" s="2" t="s">
        <x:v>9</x:v>
      </x:c>
      <x:c r="E8" s="2" t="s">
        <x:v>10</x:v>
      </x:c>
      <x:c r="F8" s="2" t="s">
        <x:v>11</x:v>
      </x:c>
      <x:c r="G8" s="2"/>
      <x:c r="H8" s="2"/>
      <x:c r="I8" s="5"/>
      <x:c r="J8" s="5"/>
    </x:row>
    <x:row r="9" ht="63.75">
      <x:c r="A9" s="2" t="s">
        <x:v>12</x:v>
      </x:c>
      <x:c r="B9" s="3" t="n">
        <x:f>IFERROR(B8/B4,0)</x:f>
        <x:v>0</x:v>
      </x:c>
      <x:c r="C9" s="5"/>
      <x:c r="D9" s="2" t="s">
        <x:v>13</x:v>
      </x:c>
      <x:c r="E9" s="2" t="s">
        <x:v>14</x:v>
      </x:c>
      <x:c r="F9" s="2" t="s">
        <x:v>15</x:v>
      </x:c>
      <x:c r="G9" s="2"/>
      <x:c r="H9" s="2"/>
      <x:c r="I9" s="5"/>
      <x:c r="J9" s="5"/>
    </x:row>
    <x:row r="10" ht="63.75">
      <x:c r="A10" s="5"/>
      <x:c r="B10" s="5"/>
      <x:c r="C10" s="5"/>
      <x:c r="D10" s="2" t="s">
        <x:v>16</x:v>
      </x:c>
      <x:c r="E10" s="2" t="s">
        <x:v>17</x:v>
      </x:c>
      <x:c r="F10" s="2" t="s">
        <x:v>18</x:v>
      </x:c>
      <x:c r="G10" s="2"/>
      <x:c r="H10" s="2"/>
      <x:c r="I10" s="5"/>
      <x:c r="J10" s="5"/>
    </x:row>
    <x:row r="11">
      <x:c r="A11" s="5"/>
      <x:c r="B11" s="5"/>
      <x:c r="C11" s="5"/>
      <x:c r="D11" s="5"/>
      <x:c r="E11" s="5"/>
      <x:c r="F11" s="5"/>
      <x:c r="G11" s="5"/>
      <x:c r="H11" s="5"/>
      <x:c r="I11" s="5"/>
      <x:c r="J11" s="5"/>
    </x:row>
    <x:row r="12">
      <x:c r="A12" s="5"/>
      <x:c r="B12" s="5"/>
      <x:c r="C12" s="5"/>
      <x:c r="D12" s="5"/>
      <x:c r="E12" s="5"/>
      <x:c r="F12" s="5"/>
      <x:c r="G12" s="5"/>
      <x:c r="H12" s="5"/>
      <x:c r="I12" s="5"/>
      <x:c r="J12" s="5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</x:row>
    <x:row r="14">
      <x:c r="A14" s="5"/>
      <x:c r="B14" s="5"/>
      <x:c r="C14" s="5"/>
      <x:c r="D14" s="5"/>
      <x:c r="E14" s="5"/>
      <x:c r="F14" s="5"/>
      <x:c r="G14" s="5"/>
      <x:c r="H14" s="5"/>
      <x:c r="I14" s="5"/>
      <x:c r="J14" s="5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  <x:c r="J16" s="5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  <x:c r="J17" s="5"/>
    </x:row>
    <x:row r="18">
      <x:c r="A18" s="5"/>
      <x:c r="B18" s="5"/>
      <x:c r="C18" s="5"/>
      <x:c r="D18" s="5"/>
      <x:c r="E18" s="5"/>
      <x:c r="F18" s="5"/>
      <x:c r="G18" s="5"/>
      <x:c r="H18" s="5"/>
      <x:c r="I18" s="5"/>
      <x:c r="J18" s="5"/>
    </x:row>
    <x:row r="19">
      <x:c r="A19" s="5"/>
      <x:c r="B19" s="5"/>
      <x:c r="C19" s="5"/>
      <x:c r="D19" s="5"/>
      <x:c r="E19" s="5"/>
      <x:c r="F19" s="5"/>
      <x:c r="G19" s="5"/>
      <x:c r="H19" s="5"/>
      <x:c r="I19" s="5"/>
      <x:c r="J19" s="5"/>
    </x:row>
    <x:row r="20">
      <x:c r="A20" s="5"/>
      <x:c r="B20" s="5"/>
      <x:c r="C20" s="5"/>
      <x:c r="D20" s="5"/>
      <x:c r="E20" s="5"/>
      <x:c r="F20" s="5"/>
      <x:c r="G20" s="5"/>
      <x:c r="H20" s="5"/>
      <x:c r="I20" s="5"/>
      <x:c r="J20" s="5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</x:row>
    <x:row r="22">
      <x:c r="A22" s="5"/>
      <x:c r="B22" s="5"/>
      <x:c r="C22" s="5"/>
      <x:c r="D22" s="5"/>
      <x:c r="E22" s="5"/>
      <x:c r="F22" s="5"/>
      <x:c r="G22" s="5"/>
      <x:c r="H22" s="5"/>
      <x:c r="I22" s="5"/>
      <x:c r="J22" s="5"/>
    </x:row>
    <x:row r="23">
      <x:c r="A23" s="5"/>
      <x:c r="B23" s="5"/>
      <x:c r="C23" s="5"/>
      <x:c r="D23" s="5"/>
      <x:c r="E23" s="5"/>
      <x:c r="F23" s="5"/>
      <x:c r="G23" s="5"/>
      <x:c r="H23" s="5"/>
      <x:c r="I23" s="5"/>
      <x:c r="J23" s="5"/>
    </x:row>
    <x:row r="24">
      <x:c r="A24" s="5"/>
      <x:c r="B24" s="5"/>
      <x:c r="C24" s="5"/>
      <x:c r="D24" s="5"/>
      <x:c r="E24" s="5"/>
      <x:c r="F24" s="5"/>
      <x:c r="G24" s="5"/>
      <x:c r="H24" s="5"/>
      <x:c r="I24" s="5"/>
      <x:c r="J24" s="5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</x:row>
    <x:row r="30">
      <x:c r="A30" s="5"/>
      <x:c r="B30" s="5"/>
      <x:c r="C30" s="5"/>
      <x:c r="D30" s="5"/>
      <x:c r="E30" s="5"/>
      <x:c r="F30" s="5"/>
      <x:c r="G30" s="5"/>
      <x:c r="H30" s="5"/>
      <x:c r="I30" s="5"/>
      <x:c r="J30" s="5"/>
    </x:row>
    <x:row r="31">
      <x:c r="A31" s="5"/>
      <x:c r="B31" s="5"/>
      <x:c r="C31" s="5"/>
      <x:c r="D31" s="5"/>
      <x:c r="E31" s="5"/>
      <x:c r="F31" s="5"/>
      <x:c r="G31" s="5"/>
      <x:c r="H31" s="5"/>
      <x:c r="I31" s="5"/>
      <x:c r="J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</x:row>
    <x:row r="34">
      <x:c r="A34" s="5"/>
      <x:c r="B34" s="5"/>
      <x:c r="C34" s="5"/>
      <x:c r="D34" s="5"/>
      <x:c r="E34" s="5"/>
      <x:c r="F34" s="5"/>
      <x:c r="G34" s="5"/>
      <x:c r="H34" s="5"/>
      <x:c r="I34" s="5"/>
      <x:c r="J34" s="5"/>
    </x:row>
    <x:row r="35">
      <x:c r="A35" s="5"/>
      <x:c r="B35" s="5"/>
      <x:c r="C35" s="5"/>
      <x:c r="D35" s="5"/>
      <x:c r="E35" s="5"/>
      <x:c r="F35" s="5"/>
      <x:c r="G35" s="5"/>
      <x:c r="H35" s="5"/>
      <x:c r="I35" s="5"/>
      <x:c r="J35" s="5"/>
    </x:row>
    <x:row r="36">
      <x:c r="A36" s="5"/>
      <x:c r="B36" s="5"/>
      <x:c r="C36" s="5"/>
      <x:c r="D36" s="5"/>
      <x:c r="E36" s="5"/>
      <x:c r="F36" s="5"/>
      <x:c r="G36" s="5"/>
      <x:c r="H36" s="5"/>
      <x:c r="I36" s="5"/>
      <x:c r="J36" s="5"/>
    </x:row>
    <x:row r="37">
      <x:c r="A37" s="5"/>
      <x:c r="B37" s="5"/>
      <x:c r="C37" s="5"/>
      <x:c r="D37" s="5"/>
      <x:c r="E37" s="5"/>
      <x:c r="F37" s="5"/>
      <x:c r="G37" s="5"/>
      <x:c r="H37" s="5"/>
      <x:c r="I37" s="5"/>
      <x:c r="J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</x:row>
    <x:row r="81">
      <x:c r="A81" s="5"/>
      <x:c r="B81" s="5"/>
      <x:c r="C81" s="5"/>
      <x:c r="D81" s="5"/>
      <x:c r="E81" s="5"/>
      <x:c r="F81" s="5"/>
      <x:c r="G81" s="5"/>
      <x:c r="H81" s="5"/>
      <x:c r="I81" s="5"/>
      <x:c r="J81" s="5"/>
    </x:row>
    <x:row r="82">
      <x:c r="A82" s="5"/>
      <x:c r="B82" s="5"/>
      <x:c r="C82" s="5"/>
      <x:c r="D82" s="5"/>
      <x:c r="E82" s="5"/>
      <x:c r="F82" s="5"/>
      <x:c r="G82" s="5"/>
      <x:c r="H82" s="5"/>
      <x:c r="I82" s="5"/>
      <x:c r="J82" s="5"/>
    </x:row>
    <x:row r="83">
      <x:c r="A83" s="5"/>
      <x:c r="B83" s="5"/>
      <x:c r="C83" s="5"/>
      <x:c r="D83" s="5"/>
      <x:c r="E83" s="5"/>
      <x:c r="F83" s="5"/>
      <x:c r="G83" s="5"/>
      <x:c r="H83" s="5"/>
      <x:c r="I83" s="5"/>
      <x:c r="J83" s="5"/>
    </x:row>
    <x:row r="84">
      <x:c r="A84" s="5"/>
      <x:c r="B84" s="5"/>
      <x:c r="C84" s="5"/>
      <x:c r="D84" s="5"/>
      <x:c r="E84" s="5"/>
      <x:c r="F84" s="5"/>
      <x:c r="G84" s="5"/>
      <x:c r="H84" s="5"/>
      <x:c r="I84" s="5"/>
      <x:c r="J84" s="5"/>
    </x:row>
    <x:row r="85">
      <x:c r="A85" s="5"/>
      <x:c r="B85" s="5"/>
      <x:c r="C85" s="5"/>
      <x:c r="D85" s="5"/>
      <x:c r="E85" s="5"/>
      <x:c r="F85" s="5"/>
      <x:c r="G85" s="5"/>
      <x:c r="H85" s="5"/>
      <x:c r="I85" s="5"/>
      <x:c r="J85" s="5"/>
    </x:row>
    <x:row r="86">
      <x:c r="A86" s="5"/>
      <x:c r="B86" s="5"/>
      <x:c r="C86" s="5"/>
      <x:c r="D86" s="5"/>
      <x:c r="E86" s="5"/>
      <x:c r="F86" s="5"/>
      <x:c r="G86" s="5"/>
      <x:c r="H86" s="5"/>
      <x:c r="I86" s="5"/>
      <x:c r="J86" s="5"/>
    </x:row>
    <x:row r="87">
      <x:c r="A87" s="5"/>
      <x:c r="B87" s="5"/>
      <x:c r="C87" s="5"/>
      <x:c r="D87" s="5"/>
      <x:c r="E87" s="5"/>
      <x:c r="F87" s="5"/>
      <x:c r="G87" s="5"/>
      <x:c r="H87" s="5"/>
      <x:c r="I87" s="5"/>
      <x:c r="J87" s="5"/>
    </x:row>
    <x:row r="88">
      <x:c r="A88" s="5"/>
      <x:c r="B88" s="5"/>
      <x:c r="C88" s="5"/>
      <x:c r="D88" s="5"/>
      <x:c r="E88" s="5"/>
      <x:c r="F88" s="5"/>
      <x:c r="G88" s="5"/>
      <x:c r="H88" s="5"/>
      <x:c r="I88" s="5"/>
      <x:c r="J88" s="5"/>
    </x:row>
    <x:row r="89">
      <x:c r="A89" s="5"/>
      <x:c r="B89" s="5"/>
      <x:c r="C89" s="5"/>
      <x:c r="D89" s="5"/>
      <x:c r="E89" s="5"/>
      <x:c r="F89" s="5"/>
      <x:c r="G89" s="5"/>
      <x:c r="H89" s="5"/>
      <x:c r="I89" s="5"/>
      <x:c r="J89" s="5"/>
    </x:row>
    <x:row r="90">
      <x:c r="A90" s="5"/>
      <x:c r="B90" s="5"/>
      <x:c r="C90" s="5"/>
      <x:c r="D90" s="5"/>
      <x:c r="E90" s="5"/>
      <x:c r="F90" s="5"/>
      <x:c r="G90" s="5"/>
      <x:c r="H90" s="5"/>
      <x:c r="I90" s="5"/>
      <x:c r="J90" s="5"/>
    </x:row>
    <x:row r="91">
      <x:c r="A91" s="5"/>
      <x:c r="B91" s="5"/>
      <x:c r="C91" s="5"/>
      <x:c r="D91" s="5"/>
      <x:c r="E91" s="5"/>
      <x:c r="F91" s="5"/>
      <x:c r="G91" s="5"/>
      <x:c r="H91" s="5"/>
      <x:c r="I91" s="5"/>
      <x:c r="J91" s="5"/>
    </x:row>
    <x:row r="92">
      <x:c r="A92" s="5"/>
      <x:c r="B92" s="5"/>
      <x:c r="C92" s="5"/>
      <x:c r="D92" s="5"/>
      <x:c r="E92" s="5"/>
      <x:c r="F92" s="5"/>
      <x:c r="G92" s="5"/>
      <x:c r="H92" s="5"/>
      <x:c r="I92" s="5"/>
      <x:c r="J92" s="5"/>
    </x:row>
    <x:row r="93">
      <x:c r="A93" s="5"/>
      <x:c r="B93" s="5"/>
      <x:c r="C93" s="5"/>
      <x:c r="D93" s="5"/>
      <x:c r="E93" s="5"/>
      <x:c r="F93" s="5"/>
      <x:c r="G93" s="5"/>
      <x:c r="H93" s="5"/>
      <x:c r="I93" s="5"/>
      <x:c r="J93" s="5"/>
    </x:row>
    <x:row r="94">
      <x:c r="A94" s="5"/>
      <x:c r="B94" s="5"/>
      <x:c r="C94" s="5"/>
      <x:c r="D94" s="5"/>
      <x:c r="E94" s="5"/>
      <x:c r="F94" s="5"/>
      <x:c r="G94" s="5"/>
      <x:c r="H94" s="5"/>
      <x:c r="I94" s="5"/>
      <x:c r="J94" s="5"/>
    </x:row>
    <x:row r="95">
      <x:c r="A95" s="5"/>
      <x:c r="B95" s="5"/>
      <x:c r="C95" s="5"/>
      <x:c r="D95" s="5"/>
      <x:c r="E95" s="5"/>
      <x:c r="F95" s="5"/>
      <x:c r="G95" s="5"/>
      <x:c r="H95" s="5"/>
      <x:c r="I95" s="5"/>
      <x:c r="J95" s="5"/>
    </x:row>
    <x:row r="96">
      <x:c r="A96" s="5"/>
      <x:c r="B96" s="5"/>
      <x:c r="C96" s="5"/>
      <x:c r="D96" s="5"/>
      <x:c r="E96" s="5"/>
      <x:c r="F96" s="5"/>
      <x:c r="G96" s="5"/>
      <x:c r="H96" s="5"/>
      <x:c r="I96" s="5"/>
      <x:c r="J96" s="5"/>
    </x:row>
    <x:row r="97">
      <x:c r="A97" s="5"/>
      <x:c r="B97" s="5"/>
      <x:c r="C97" s="5"/>
      <x:c r="D97" s="5"/>
      <x:c r="E97" s="5"/>
      <x:c r="F97" s="5"/>
      <x:c r="G97" s="5"/>
      <x:c r="H97" s="5"/>
      <x:c r="I97" s="5"/>
      <x:c r="J97" s="5"/>
    </x:row>
    <x:row r="98">
      <x:c r="A98" s="5"/>
      <x:c r="B98" s="5"/>
      <x:c r="C98" s="5"/>
      <x:c r="D98" s="5"/>
      <x:c r="E98" s="5"/>
      <x:c r="F98" s="5"/>
      <x:c r="G98" s="5"/>
      <x:c r="H98" s="5"/>
      <x:c r="I98" s="5"/>
      <x:c r="J98" s="5"/>
    </x:row>
    <x:row r="99">
      <x:c r="A99" s="5"/>
      <x:c r="B99" s="5"/>
      <x:c r="C99" s="5"/>
      <x:c r="D99" s="5"/>
      <x:c r="E99" s="5"/>
      <x:c r="F99" s="5"/>
      <x:c r="G99" s="5"/>
      <x:c r="H99" s="5"/>
      <x:c r="I99" s="5"/>
      <x:c r="J99" s="5"/>
    </x:row>
    <x:row r="100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</x:row>
    <x:row r="10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</x:row>
    <x:row r="102">
      <x:c r="A102" s="5"/>
      <x:c r="B102" s="5"/>
      <x:c r="C102" s="5"/>
      <x:c r="D102" s="5"/>
      <x:c r="E102" s="5"/>
      <x:c r="F102" s="5"/>
      <x:c r="G102" s="5"/>
      <x:c r="H102" s="5"/>
      <x:c r="I102" s="5"/>
      <x:c r="J102" s="5"/>
    </x:row>
    <x:row r="103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</x:row>
    <x:row r="104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</x:row>
    <x:row r="105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</x:row>
    <x:row r="106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</x:row>
    <x:row r="107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</x:row>
    <x:row r="108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</x:row>
    <x:row r="109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</x:row>
    <x:row r="110">
      <x:c r="A110" s="5"/>
      <x:c r="B110" s="5"/>
      <x:c r="C110" s="5"/>
      <x:c r="D110" s="5"/>
      <x:c r="E110" s="5"/>
      <x:c r="F110" s="5"/>
      <x:c r="G110" s="5"/>
      <x:c r="H110" s="5"/>
      <x:c r="I110" s="5"/>
      <x:c r="J110" s="5"/>
    </x:row>
  </x:sheetData>
  <x:mergeCells>
    <x:mergeCell ref="A1:H1"/>
    <x:mergeCell ref="D3:H3"/>
    <x:mergeCell ref="D4:H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10" defaultColWidth="9" defaultRowHeight="14.25"/>
  <x:cols>
    <x:col min="1" max="1" width="12" customWidth="1"/>
    <x:col min="2" max="2" width="18" customWidth="1"/>
    <x:col min="3" max="3" width="24" customWidth="1"/>
    <x:col min="4" max="4" width="27" customWidth="1"/>
    <x:col min="5" max="5" width="29" customWidth="1"/>
    <x:col min="6" max="6" width="28" customWidth="1"/>
    <x:col min="7" max="7" width="25" customWidth="1"/>
    <x:col min="8" max="8" width="24" customWidth="1"/>
    <x:col min="9" max="9" width="18" customWidth="1"/>
    <x:col min="10" max="10" width="14" customWidth="1"/>
  </x:cols>
  <x:sheetData>
    <x:row r="1" ht="20.25">
      <x:c r="A1" s="9" t="str">
        <x:v>TrazaLab · Requisitos frente al código actual</x:v>
      </x:c>
      <x:c r="B1" s="9"/>
      <x:c r="C1" s="9"/>
      <x:c r="D1" s="9"/>
      <x:c r="E1" s="9"/>
      <x:c r="F1" s="9"/>
      <x:c r="G1" s="9"/>
      <x:c r="H1" s="9"/>
      <x:c r="I1" s="9"/>
      <x:c r="J1" s="6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ht="30">
      <x:c r="A3" s="1" t="str">
        <x:v>ID</x:v>
      </x:c>
      <x:c r="B3" s="1" t="str">
        <x:v>Requisito</x:v>
      </x:c>
      <x:c r="C3" s="1" t="str">
        <x:v>Comportamiento y alcance actual</x:v>
      </x:c>
      <x:c r="D3" s="1" t="str">
        <x:v>Entrada / controlador</x:v>
      </x:c>
      <x:c r="E3" s="1" t="str">
        <x:v>Servicio / regla</x:v>
      </x:c>
      <x:c r="F3" s="1" t="str">
        <x:v>Repositorio JPA</x:v>
      </x:c>
      <x:c r="G3" s="1" t="str">
        <x:v>Tabla o vista PostgreSQL</x:v>
      </x:c>
      <x:c r="H3" s="1" t="str">
        <x:v>Prueba / evidencia</x:v>
      </x:c>
      <x:c r="I3" s="1" t="str">
        <x:v>Archivo verificable</x:v>
      </x:c>
      <x:c r="J3" s="1" t="str">
        <x:v>Estado</x:v>
      </x:c>
    </x:row>
    <x:row r="4" ht="64" customHeight="1">
      <x:c r="A4" s="25" t="str">
        <x:v>TR-01</x:v>
      </x:c>
      <x:c r="B4" s="25" t="str">
        <x:v>RF-05</x:v>
      </x:c>
      <x:c r="C4" s="25" t="str">
        <x:v>Registro de incidencia persistente; selección de reportante por ID, sin inicio de sesión</x:v>
      </x:c>
      <x:c r="D4" s="25" t="str">
        <x:v>ConsolaPersistencia.registrarIncidencia → IncidenciaController.registrar</x:v>
      </x:c>
      <x:c r="E4" s="25" t="str">
        <x:v>RegistroIncidenciaPersistenteServicio.registrar</x:v>
      </x:c>
      <x:c r="F4" s="25" t="str">
        <x:v>UsuarioJpaRepositorio; ComputadoraJpaRepositorio; IncidenciaJpaRepositorio</x:v>
      </x:c>
      <x:c r="G4" s="25" t="str">
        <x:v>usuario; computadora; incidencia</x:v>
      </x:c>
      <x:c r="H4" s="25" t="str">
        <x:v>RegistroIncidenciaJpaTest: 2 pruebas ejecutadas, 0 fallos, 27/10/2026</x:v>
      </x:c>
      <x:c r="I4" s="25" t="str">
        <x:v>src/main/java/com/utp/trazalab/service/RegistroIncidenciaPersistenteServicio.java</x:v>
      </x:c>
      <x:c r="J4" s="26" t="str">
        <x:v>Parcial</x:v>
      </x:c>
    </x:row>
    <x:row r="5" ht="64" customHeight="1">
      <x:c r="A5" s="25" t="str">
        <x:v>TR-02</x:v>
      </x:c>
      <x:c r="B5" s="25" t="str">
        <x:v>RF-02</x:v>
      </x:c>
      <x:c r="C5" s="25" t="str">
        <x:v>Búsqueda por código QR escrito como texto; lector físico e interfaz P02 pendientes</x:v>
      </x:c>
      <x:c r="D5" s="25" t="str">
        <x:v>ConsolaPersistencia.consultarHistorial → IncidenciaController.consultarHistorialComputadora</x:v>
      </x:c>
      <x:c r="E5" s="25" t="str">
        <x:v>RegistroIncidenciaPersistenteServicio.consultarHistorialComputadora</x:v>
      </x:c>
      <x:c r="F5" s="25" t="str">
        <x:v>ComputadoraJpaRepositorio.findByCodigoQrIgnoreCase</x:v>
      </x:c>
      <x:c r="G5" s="25" t="str">
        <x:v>computadora</x:v>
      </x:c>
      <x:c r="H5" s="25" t="str">
        <x:v>Método existente; caso de QR inexistente sin prueba automatizada</x:v>
      </x:c>
      <x:c r="I5" s="25" t="str">
        <x:v>src/main/java/com/utp/trazalab/console/ConsolaPersistencia.java</x:v>
      </x:c>
      <x:c r="J5" s="26" t="str">
        <x:v>Parcial</x:v>
      </x:c>
    </x:row>
    <x:row r="6" ht="64" customHeight="1">
      <x:c r="A6" s="25" t="str">
        <x:v>TR-03</x:v>
      </x:c>
      <x:c r="B6" s="25" t="str">
        <x:v>RF-01</x:v>
      </x:c>
      <x:c r="C6" s="25" t="str">
        <x:v>Ficha e incidencias cronológicas por equipo; fallas, mantenimientos y componentes pendientes</x:v>
      </x:c>
      <x:c r="D6" s="25" t="str">
        <x:v>ConsolaPersistencia.consultarHistorial → IncidenciaController.consultarHistorialComputadora</x:v>
      </x:c>
      <x:c r="E6" s="25" t="str">
        <x:v>RegistroIncidenciaPersistenteServicio.consultarHistorialComputadora</x:v>
      </x:c>
      <x:c r="F6" s="25" t="str">
        <x:v>IncidenciaJpaRepositorio.findAllByComputadora_IdOrderByFechaRegistroAsc</x:v>
      </x:c>
      <x:c r="G6" s="25" t="str">
        <x:v>computadora; incidencia; usuario</x:v>
      </x:c>
      <x:c r="H6" s="25" t="str">
        <x:v>Código existente; consulta de historial sin prueba automatizada específica</x:v>
      </x:c>
      <x:c r="I6" s="25" t="str">
        <x:v>src/main/java/com/utp/trazalab/repository/IncidenciaJpaRepositorio.java</x:v>
      </x:c>
      <x:c r="J6" s="26" t="str">
        <x:v>Parcial</x:v>
      </x:c>
    </x:row>
    <x:row r="7" ht="64" customHeight="1">
      <x:c r="A7" s="25" t="str">
        <x:v>TR-04</x:v>
      </x:c>
      <x:c r="B7" s="25" t="str">
        <x:v>RF-03</x:v>
      </x:c>
      <x:c r="C7" s="25" t="str">
        <x:v>Mantenimiento preventivo/correctivo y componentes definidos en SQL y diseño; sin caso de uso Java</x:v>
      </x:c>
      <x:c r="D7" s="25" t="str">
        <x:v>P05 diseñada; sin controlador de mantenimiento</x:v>
      </x:c>
      <x:c r="E7" s="25" t="str">
        <x:v>Sin servicio de mantenimiento</x:v>
      </x:c>
      <x:c r="F7" s="25" t="str">
        <x:v>Sin repositorio JPA de mantenimiento</x:v>
      </x:c>
      <x:c r="G7" s="25" t="str">
        <x:v>mantenimiento; falla; mantenimiento_componente; computadora_componente</x:v>
      </x:c>
      <x:c r="H7" s="25" t="str">
        <x:v>Reglas diseñadas; sin prueba ejecutable del mantenimiento</x:v>
      </x:c>
      <x:c r="I7" s="25" t="str">
        <x:v>database/01_trazalab_schema.sql</x:v>
      </x:c>
      <x:c r="J7" s="26" t="str">
        <x:v>Diseñado</x:v>
      </x:c>
    </x:row>
    <x:row r="8" ht="64" customHeight="1">
      <x:c r="A8" s="25" t="str">
        <x:v>TR-05</x:v>
      </x:c>
      <x:c r="B8" s="25" t="str">
        <x:v>RF-04</x:v>
      </x:c>
      <x:c r="C8" s="25" t="str">
        <x:v>Estados y ubicación almacenados; consulta de disponibilidad y actualización aún sin menú</x:v>
      </x:c>
      <x:c r="D8" s="25" t="str">
        <x:v>P01 diseñada; no existe opción de disponibilidad</x:v>
      </x:c>
      <x:c r="E8" s="25" t="str">
        <x:v>Sin servicio de disponibilidad</x:v>
      </x:c>
      <x:c r="F8" s="25" t="str">
        <x:v>ComputadoraJpaRepositorio solo busca por QR</x:v>
      </x:c>
      <x:c r="G8" s="25" t="str">
        <x:v>computadora; ubicacion</x:v>
      </x:c>
      <x:c r="H8" s="25" t="str">
        <x:v>Permiso consultar_disponibilidad en SQL; sin consulta funcional</x:v>
      </x:c>
      <x:c r="I8" s="25" t="str">
        <x:v>database/01_trazalab_schema.sql</x:v>
      </x:c>
      <x:c r="J8" s="26" t="str">
        <x:v>Diseñado</x:v>
      </x:c>
    </x:row>
    <x:row r="9" ht="64" customHeight="1">
      <x:c r="A9" s="25" t="str">
        <x:v>TR-06</x:v>
      </x:c>
      <x:c r="B9" s="25" t="str">
        <x:v>RF-06</x:v>
      </x:c>
      <x:c r="C9" s="25" t="str">
        <x:v>Vista de recurrencia en SQL; criterio del piloto y reporte funcional pendientes</x:v>
      </x:c>
      <x:c r="D9" s="25" t="str">
        <x:v>P06 diseñada; exportación actual solo lista incidencias</x:v>
      </x:c>
      <x:c r="E9" s="25" t="str">
        <x:v>Sin ReporteService ni criterio aprobado</x:v>
      </x:c>
      <x:c r="F9" s="25" t="str">
        <x:v>Sin repositorio JPA de recurrencias</x:v>
      </x:c>
      <x:c r="G9" s="25" t="str">
        <x:v>vw_fallas_recurrentes</x:v>
      </x:c>
      <x:c r="H9" s="25" t="str">
        <x:v>Vista definida; sin caso de uso ni prueba de recurrencia</x:v>
      </x:c>
      <x:c r="I9" s="25" t="str">
        <x:v>database/01_trazalab_schema.sql</x:v>
      </x:c>
      <x:c r="J9" s="26" t="str">
        <x:v>Diseñado</x:v>
      </x:c>
    </x:row>
    <x:row r="10" ht="64" customHeight="1">
      <x:c r="A10" s="25" t="str">
        <x:v>TR-07</x:v>
      </x:c>
      <x:c r="B10" s="25" t="str">
        <x:v>RNF-01</x:v>
      </x:c>
      <x:c r="C10" s="25" t="str">
        <x:v>Catálogos de categorías y tipos en SQL; sin clasificación de fallas desde Java</x:v>
      </x:c>
      <x:c r="D10" s="25" t="str">
        <x:v>P05 diseñada; sin entrada de clasificación</x:v>
      </x:c>
      <x:c r="E10" s="25" t="str">
        <x:v>Sin FallaService</x:v>
      </x:c>
      <x:c r="F10" s="25" t="str">
        <x:v>Sin repositorios JPA de falla y catálogos</x:v>
      </x:c>
      <x:c r="G10" s="25" t="str">
        <x:v>categoria_falla; tipo_falla; falla</x:v>
      </x:c>
      <x:c r="H10" s="25" t="str">
        <x:v>Restricciones SQL; clasificación no ejecutada</x:v>
      </x:c>
      <x:c r="I10" s="25" t="str">
        <x:v>database/01_trazalab_schema.sql</x:v>
      </x:c>
      <x:c r="J10" s="26" t="str">
        <x:v>Diseñado</x:v>
      </x:c>
    </x:row>
    <x:row r="11" ht="64" customHeight="1">
      <x:c r="A11" s="25" t="str">
        <x:v>TR-08</x:v>
      </x:c>
      <x:c r="B11" s="25" t="str">
        <x:v>RNF-02</x:v>
      </x:c>
      <x:c r="C11" s="25" t="str">
        <x:v>El servicio comprueba estado y rol del ID reportante; no autentica al operador</x:v>
      </x:c>
      <x:c r="D11" s="25" t="str">
        <x:v>ConsolaPersistencia solicita ID; IncidenciaController.registrar</x:v>
      </x:c>
      <x:c r="E11" s="25" t="str">
        <x:v>RegistroIncidenciaPersistenteServicio.rolPuedeReportar</x:v>
      </x:c>
      <x:c r="F11" s="25" t="str">
        <x:v>UsuarioJpaRepositorio; relación UsuarioEntidad.rol</x:v>
      </x:c>
      <x:c r="G11" s="25" t="str">
        <x:v>usuario; rol; permiso; rol_permiso</x:v>
      </x:c>
      <x:c r="H11" s="25" t="str">
        <x:v>Spring Security está declarado, sin configuración de acceso ni prueba de autorización</x:v>
      </x:c>
      <x:c r="I11" s="25" t="str">
        <x:v>src/main/java/com/utp/trazalab/service/RegistroIncidenciaPersistenteServicio.java</x:v>
      </x:c>
      <x:c r="J11" s="26" t="str">
        <x:v>Parcial</x:v>
      </x:c>
    </x:row>
    <x:row r="12" ht="64" customHeight="1">
      <x:c r="A12" s="26" t="str">
        <x:v>TR-09</x:v>
      </x:c>
      <x:c r="B12" s="26" t="str">
        <x:v>RNF-03</x:v>
      </x:c>
      <x:c r="C12" s="26" t="str">
        <x:v>Incidencia conserva reportante y fecha; intervenciones aún no se registran</x:v>
      </x:c>
      <x:c r="D12" s="26" t="str">
        <x:v>ConsolaPersistencia.registrarIncidencia → IncidenciaController.registrar</x:v>
      </x:c>
      <x:c r="E12" s="26" t="str">
        <x:v>RegistroIncidenciaPersistenteServicio.registrar</x:v>
      </x:c>
      <x:c r="F12" s="26" t="str">
        <x:v>IncidenciaJpaRepositorio.saveAndFlush</x:v>
      </x:c>
      <x:c r="G12" s="26" t="str">
        <x:v>incidencia.usuario_id; incidencia.fecha_registro</x:v>
      </x:c>
      <x:c r="H12" s="26" t="str">
        <x:v>Prueba de integración verifica usuario asociado; mantenimiento pendiente</x:v>
      </x:c>
      <x:c r="I12" s="26" t="str">
        <x:v>src/main/java/com/utp/trazalab/model/IncidenciaEntidad.java</x:v>
      </x:c>
      <x:c r="J12" s="26" t="str">
        <x:v>Parcial</x:v>
      </x:c>
    </x:row>
    <x:row r="13" ht="64" customHeight="1">
      <x:c r="A13" s="26" t="str">
        <x:v>TR-10</x:v>
      </x:c>
      <x:c r="B13" s="26" t="str">
        <x:v>RE-01</x:v>
      </x:c>
      <x:c r="C13" s="26" t="str">
        <x:v>Piloto de 15 a 20 equipos definido; no hay validación del piloto</x:v>
      </x:c>
      <x:c r="D13" s="26" t="str">
        <x:v>Sin entrada de validación del piloto</x:v>
      </x:c>
      <x:c r="E13" s="26" t="str">
        <x:v>Sin servicio de piloto</x:v>
      </x:c>
      <x:c r="F13" s="26" t="str">
        <x:v>No aplica aún</x:v>
      </x:c>
      <x:c r="G13" s="26" t="str">
        <x:v>computadora; ubicacion</x:v>
      </x:c>
      <x:c r="H13" s="26" t="str">
        <x:v>Base local consultada el 27/10/2026: 1 computadora; no demuestra piloto</x:v>
      </x:c>
      <x:c r="I13" s="26" t="str">
        <x:v>APF01/Project Charter, WBS, Gantt.xlsx</x:v>
      </x:c>
      <x:c r="J13" s="26" t="str">
        <x:v>Diseñado</x:v>
      </x:c>
    </x:row>
    <x:row r="14" ht="64" customHeight="1">
      <x:c r="A14" s="26" t="str">
        <x:v>TR-11</x:v>
      </x:c>
      <x:c r="B14" s="26" t="str">
        <x:v>EXT-01</x:v>
      </x:c>
      <x:c r="C14" s="26" t="str">
        <x:v>Exportación implementada de incidencias a PDF, XLSX y CSV; no es reporte de recurrencias</x:v>
      </x:c>
      <x:c r="D14" s="26" t="str">
        <x:v>ConsolaPersistencia.exportarIncidencias → ExportacionIncidenciasController.exportar</x:v>
      </x:c>
      <x:c r="E14" s="26" t="str">
        <x:v>RegistroIncidenciaPersistenteServicio.consultarIncidencias</x:v>
      </x:c>
      <x:c r="F14" s="26" t="str">
        <x:v>IncidenciaJpaRepositorio.findAllByOrderByFechaRegistroDesc</x:v>
      </x:c>
      <x:c r="G14" s="26" t="str">
        <x:v>incidencia; usuario; computadora</x:v>
      </x:c>
      <x:c r="H14" s="26" t="str">
        <x:v>Exportadores y logging existentes; generación de archivos no cubierta por prueba automatizada</x:v>
      </x:c>
      <x:c r="I14" s="26" t="str">
        <x:v>src/main/java/com/utp/trazalab/controller/ExportacionIncidenciasController.java</x:v>
      </x:c>
      <x:c r="J14" s="26" t="str">
        <x:v>Implementado</x:v>
      </x:c>
    </x:row>
  </x:sheetData>
  <x:mergeCells>
    <x:mergeCell ref="A1:I1"/>
  </x:mergeCells>
  <x:conditionalFormatting sqref="J4:J11">
    <x:cfRule type="containsText" dxfId="6" priority="1" operator="containsText" text="Verde"/>
    <x:cfRule type="containsText" dxfId="5" priority="2" operator="containsText" text="Amarillo"/>
    <x:cfRule type="containsText" dxfId="4" priority="3" operator="containsText" text="Rojo"/>
  </x:conditionalFormatting>
  <x:dataValidations count="1">
    <x:dataValidation type="list" sqref="J4:J103">
      <x:formula1>"Implementado,Parcial,Diseñado"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10" defaultColWidth="9" defaultRowHeight="14.25"/>
  <x:cols>
    <x:col min="1" max="1" width="13" customWidth="1"/>
    <x:col min="2" max="2" width="34" customWidth="1"/>
    <x:col min="3" max="3" width="32" customWidth="1"/>
    <x:col min="4" max="4" width="26" customWidth="1"/>
    <x:col min="5" max="5" width="12" customWidth="1"/>
    <x:col min="6" max="6" width="26" customWidth="1"/>
  </x:cols>
  <x:sheetData>
    <x:row r="1" ht="20.25">
      <x:c r="A1" s="9" t="str">
        <x:v>SOLID aplicado y pendiente en TrazaLab</x:v>
      </x:c>
      <x:c r="B1" s="9"/>
      <x:c r="C1" s="9"/>
      <x:c r="D1" s="9"/>
      <x:c r="E1" s="9"/>
      <x:c r="F1" s="9"/>
      <x:c r="G1" s="5"/>
      <x:c r="H1" s="5"/>
      <x:c r="I1" s="5"/>
      <x:c r="J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ht="30">
      <x:c r="A3" s="1" t="s">
        <x:v>19</x:v>
      </x:c>
      <x:c r="B3" s="1" t="s">
        <x:v>20</x:v>
      </x:c>
      <x:c r="C3" s="1" t="s">
        <x:v>21</x:v>
      </x:c>
      <x:c r="D3" s="1" t="s">
        <x:v>22</x:v>
      </x:c>
      <x:c r="E3" s="1" t="str">
        <x:v>Estado actual</x:v>
      </x:c>
      <x:c r="F3" s="1" t="s">
        <x:v>23</x:v>
      </x:c>
      <x:c r="G3" s="5"/>
      <x:c r="H3" s="5"/>
      <x:c r="I3" s="5"/>
      <x:c r="J3" s="5"/>
    </x:row>
    <x:row r="4" ht="60" customHeight="1">
      <x:c r="A4" s="4" t="str">
        <x:v>SRP</x:v>
      </x:c>
      <x:c r="B4" s="7" t="str">
        <x:v>¿La entrada, regla y persistencia tienen responsabilidades separadas?</x:v>
      </x:c>
      <x:c r="C4" s="7" t="str">
        <x:v>ConsolaPersistencia → IncidenciaController → RegistroIncidenciaPersistenteServicio → repositorios JPA</x:v>
      </x:c>
      <x:c r="D4" s="7" t="str">
        <x:v>Mezclar interfaz y reglas dificulta reemplazar la consola.</x:v>
      </x:c>
      <x:c r="E4" s="7" t="str">
        <x:v>Sí</x:v>
      </x:c>
      <x:c r="F4" s="7" t="str">
        <x:v>El flujo de incidencia separa capas; mantenimiento sigue diseñado.</x:v>
      </x:c>
      <x:c r="G4" s="5"/>
      <x:c r="H4" s="5"/>
      <x:c r="I4" s="5"/>
      <x:c r="J4" s="5"/>
    </x:row>
    <x:row r="5" ht="60" customHeight="1">
      <x:c r="A5" s="4" t="str">
        <x:v>OCP</x:v>
      </x:c>
      <x:c r="B5" s="7" t="str">
        <x:v>¿Se puede añadir un formato de exportación sin cambiar el flujo de incidencias?</x:v>
      </x:c>
      <x:c r="C5" s="7" t="str">
        <x:v>ExportadorIncidencias tiene implementaciones PDF, Excel y CSV.</x:v>
      </x:c>
      <x:c r="D5" s="7" t="str">
        <x:v>Acoplar formatos al controlador aumenta cambios.</x:v>
      </x:c>
      <x:c r="E5" s="7" t="str">
        <x:v>Sí</x:v>
      </x:c>
      <x:c r="F5" s="7" t="str">
        <x:v>El criterio de fallas recurrentes todavía no tiene servicio.</x:v>
      </x:c>
      <x:c r="G5" s="5"/>
      <x:c r="H5" s="5"/>
      <x:c r="I5" s="5"/>
      <x:c r="J5" s="5"/>
    </x:row>
    <x:row r="6" ht="48" customHeight="1">
      <x:c r="A6" s="4" t="str">
        <x:v>LSP</x:v>
      </x:c>
      <x:c r="B6" s="7" t="str">
        <x:v>¿Hay implementaciones alternativas verificadas para los contratos?</x:v>
      </x:c>
      <x:c r="C6" s="7" t="str">
        <x:v>La interfaz de exportación tiene tres implementaciones; no hay prueba de contrato común.</x:v>
      </x:c>
      <x:c r="D6" s="7" t="str">
        <x:v>Los adaptadores podrían divergir ante la misma entrada.</x:v>
      </x:c>
      <x:c r="E6" s="7" t="str">
        <x:v>Parcial</x:v>
      </x:c>
      <x:c r="F6" s="7" t="str">
        <x:v>No afirmar sustitución comprobada sin prueba.</x:v>
      </x:c>
      <x:c r="G6" s="5"/>
      <x:c r="H6" s="5"/>
      <x:c r="I6" s="5"/>
      <x:c r="J6" s="5"/>
    </x:row>
    <x:row r="7" ht="48" customHeight="1">
      <x:c r="A7" s="4" t="str">
        <x:v>ISP</x:v>
      </x:c>
      <x:c r="B7" s="7" t="str">
        <x:v>¿Los contratos exponen solo operaciones necesarias?</x:v>
      </x:c>
      <x:c r="C7" s="7" t="str">
        <x:v>Repositorios JPA separados por entidad y contrato específico de exportación.</x:v>
      </x:c>
      <x:c r="D7" s="7" t="str">
        <x:v>Un contrato único obligaría a depender de funciones ajenas.</x:v>
      </x:c>
      <x:c r="E7" s="7" t="str">
        <x:v>Parcial</x:v>
      </x:c>
      <x:c r="F7" s="7" t="str">
        <x:v>Revisar cuando se incorpore mantenimiento y el recolector.</x:v>
      </x:c>
      <x:c r="G7" s="5"/>
      <x:c r="H7" s="5"/>
      <x:c r="I7" s="5"/>
      <x:c r="J7" s="5"/>
    </x:row>
    <x:row r="8" ht="48" customHeight="1">
      <x:c r="A8" s="4" t="str">
        <x:v>DIP</x:v>
      </x:c>
      <x:c r="B8" s="7" t="str">
        <x:v>¿La lógica de alto nivel depende de abstracciones?</x:v>
      </x:c>
      <x:c r="C8" s="7" t="str">
        <x:v>LoggingAplicacion desacopla el destino del log; exportación usa ExportadorIncidencias.</x:v>
      </x:c>
      <x:c r="D8" s="7" t="str">
        <x:v>Dependencias concretas dificultan intercambio de servicios.</x:v>
      </x:c>
      <x:c r="E8" s="7" t="str">
        <x:v>Parcial</x:v>
      </x:c>
      <x:c r="F8" s="7" t="str">
        <x:v>IncidenciaController aún depende del servicio concreto.</x:v>
      </x:c>
      <x:c r="G8" s="5"/>
      <x:c r="H8" s="5"/>
      <x:c r="I8" s="5"/>
      <x:c r="J8" s="5"/>
    </x:row>
    <x:row r="9">
      <x:c r="A9" s="5"/>
      <x:c r="B9" s="5"/>
      <x:c r="C9" s="5"/>
      <x:c r="D9" s="5"/>
      <x:c r="E9" s="5"/>
      <x:c r="F9" s="5"/>
      <x:c r="G9" s="5"/>
      <x:c r="H9" s="5"/>
      <x:c r="I9" s="5"/>
      <x:c r="J9" s="5"/>
    </x:row>
    <x:row r="10">
      <x:c r="A10" s="5"/>
      <x:c r="B10" s="5"/>
      <x:c r="C10" s="5"/>
      <x:c r="D10" s="5"/>
      <x:c r="E10" s="5"/>
      <x:c r="F10" s="5"/>
      <x:c r="G10" s="5"/>
      <x:c r="H10" s="5"/>
      <x:c r="I10" s="5"/>
      <x:c r="J10" s="5"/>
    </x:row>
    <x:row r="11">
      <x:c r="A11" s="5"/>
      <x:c r="B11" s="5"/>
      <x:c r="C11" s="5"/>
      <x:c r="D11" s="5"/>
      <x:c r="E11" s="5"/>
      <x:c r="F11" s="5"/>
      <x:c r="G11" s="5"/>
      <x:c r="H11" s="5"/>
      <x:c r="I11" s="5"/>
      <x:c r="J11" s="5"/>
    </x:row>
    <x:row r="12">
      <x:c r="A12" s="5"/>
      <x:c r="B12" s="5"/>
      <x:c r="C12" s="5"/>
      <x:c r="D12" s="5"/>
      <x:c r="E12" s="5"/>
      <x:c r="F12" s="5"/>
      <x:c r="G12" s="5"/>
      <x:c r="H12" s="5"/>
      <x:c r="I12" s="5"/>
      <x:c r="J12" s="5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</x:row>
    <x:row r="14">
      <x:c r="A14" s="5"/>
      <x:c r="B14" s="5"/>
      <x:c r="C14" s="5"/>
      <x:c r="D14" s="5"/>
      <x:c r="E14" s="5"/>
      <x:c r="F14" s="5"/>
      <x:c r="G14" s="5"/>
      <x:c r="H14" s="5"/>
      <x:c r="I14" s="5"/>
      <x:c r="J14" s="5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  <x:c r="J16" s="5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  <x:c r="J17" s="5"/>
    </x:row>
    <x:row r="18">
      <x:c r="A18" s="5"/>
      <x:c r="B18" s="5"/>
      <x:c r="C18" s="5"/>
      <x:c r="D18" s="5"/>
      <x:c r="E18" s="5"/>
      <x:c r="F18" s="5"/>
      <x:c r="G18" s="5"/>
      <x:c r="H18" s="5"/>
      <x:c r="I18" s="5"/>
      <x:c r="J18" s="5"/>
    </x:row>
    <x:row r="19">
      <x:c r="A19" s="5"/>
      <x:c r="B19" s="5"/>
      <x:c r="C19" s="5"/>
      <x:c r="D19" s="5"/>
      <x:c r="E19" s="5"/>
      <x:c r="F19" s="5"/>
      <x:c r="G19" s="5"/>
      <x:c r="H19" s="5"/>
      <x:c r="I19" s="5"/>
      <x:c r="J19" s="5"/>
    </x:row>
    <x:row r="20">
      <x:c r="A20" s="5"/>
      <x:c r="B20" s="5"/>
      <x:c r="C20" s="5"/>
      <x:c r="D20" s="5"/>
      <x:c r="E20" s="5"/>
      <x:c r="F20" s="5"/>
      <x:c r="G20" s="5"/>
      <x:c r="H20" s="5"/>
      <x:c r="I20" s="5"/>
      <x:c r="J20" s="5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</x:row>
    <x:row r="22">
      <x:c r="A22" s="5"/>
      <x:c r="B22" s="5"/>
      <x:c r="C22" s="5"/>
      <x:c r="D22" s="5"/>
      <x:c r="E22" s="5"/>
      <x:c r="F22" s="5"/>
      <x:c r="G22" s="5"/>
      <x:c r="H22" s="5"/>
      <x:c r="I22" s="5"/>
      <x:c r="J22" s="5"/>
    </x:row>
    <x:row r="23">
      <x:c r="A23" s="5"/>
      <x:c r="B23" s="5"/>
      <x:c r="C23" s="5"/>
      <x:c r="D23" s="5"/>
      <x:c r="E23" s="5"/>
      <x:c r="F23" s="5"/>
      <x:c r="G23" s="5"/>
      <x:c r="H23" s="5"/>
      <x:c r="I23" s="5"/>
      <x:c r="J23" s="5"/>
    </x:row>
    <x:row r="24">
      <x:c r="A24" s="5"/>
      <x:c r="B24" s="5"/>
      <x:c r="C24" s="5"/>
      <x:c r="D24" s="5"/>
      <x:c r="E24" s="5"/>
      <x:c r="F24" s="5"/>
      <x:c r="G24" s="5"/>
      <x:c r="H24" s="5"/>
      <x:c r="I24" s="5"/>
      <x:c r="J24" s="5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</x:row>
    <x:row r="30">
      <x:c r="A30" s="5"/>
      <x:c r="B30" s="5"/>
      <x:c r="C30" s="5"/>
      <x:c r="D30" s="5"/>
      <x:c r="E30" s="5"/>
      <x:c r="F30" s="5"/>
      <x:c r="G30" s="5"/>
      <x:c r="H30" s="5"/>
      <x:c r="I30" s="5"/>
      <x:c r="J30" s="5"/>
    </x:row>
    <x:row r="31">
      <x:c r="A31" s="5"/>
      <x:c r="B31" s="5"/>
      <x:c r="C31" s="5"/>
      <x:c r="D31" s="5"/>
      <x:c r="E31" s="5"/>
      <x:c r="F31" s="5"/>
      <x:c r="G31" s="5"/>
      <x:c r="H31" s="5"/>
      <x:c r="I31" s="5"/>
      <x:c r="J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</x:row>
    <x:row r="34">
      <x:c r="A34" s="5"/>
      <x:c r="B34" s="5"/>
      <x:c r="C34" s="5"/>
      <x:c r="D34" s="5"/>
      <x:c r="E34" s="5"/>
      <x:c r="F34" s="5"/>
      <x:c r="G34" s="5"/>
      <x:c r="H34" s="5"/>
      <x:c r="I34" s="5"/>
      <x:c r="J34" s="5"/>
    </x:row>
    <x:row r="35">
      <x:c r="A35" s="5"/>
      <x:c r="B35" s="5"/>
      <x:c r="C35" s="5"/>
      <x:c r="D35" s="5"/>
      <x:c r="E35" s="5"/>
      <x:c r="F35" s="5"/>
      <x:c r="G35" s="5"/>
      <x:c r="H35" s="5"/>
      <x:c r="I35" s="5"/>
      <x:c r="J35" s="5"/>
    </x:row>
    <x:row r="36">
      <x:c r="A36" s="5"/>
      <x:c r="B36" s="5"/>
      <x:c r="C36" s="5"/>
      <x:c r="D36" s="5"/>
      <x:c r="E36" s="5"/>
      <x:c r="F36" s="5"/>
      <x:c r="G36" s="5"/>
      <x:c r="H36" s="5"/>
      <x:c r="I36" s="5"/>
      <x:c r="J36" s="5"/>
    </x:row>
    <x:row r="37">
      <x:c r="A37" s="5"/>
      <x:c r="B37" s="5"/>
      <x:c r="C37" s="5"/>
      <x:c r="D37" s="5"/>
      <x:c r="E37" s="5"/>
      <x:c r="F37" s="5"/>
      <x:c r="G37" s="5"/>
      <x:c r="H37" s="5"/>
      <x:c r="I37" s="5"/>
      <x:c r="J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</x:row>
    <x:row r="81">
      <x:c r="A81" s="5"/>
      <x:c r="B81" s="5"/>
      <x:c r="C81" s="5"/>
      <x:c r="D81" s="5"/>
      <x:c r="E81" s="5"/>
      <x:c r="F81" s="5"/>
      <x:c r="G81" s="5"/>
      <x:c r="H81" s="5"/>
      <x:c r="I81" s="5"/>
      <x:c r="J81" s="5"/>
    </x:row>
    <x:row r="82">
      <x:c r="A82" s="5"/>
      <x:c r="B82" s="5"/>
      <x:c r="C82" s="5"/>
      <x:c r="D82" s="5"/>
      <x:c r="E82" s="5"/>
      <x:c r="F82" s="5"/>
      <x:c r="G82" s="5"/>
      <x:c r="H82" s="5"/>
      <x:c r="I82" s="5"/>
      <x:c r="J82" s="5"/>
    </x:row>
    <x:row r="83">
      <x:c r="A83" s="5"/>
      <x:c r="B83" s="5"/>
      <x:c r="C83" s="5"/>
      <x:c r="D83" s="5"/>
      <x:c r="E83" s="5"/>
      <x:c r="F83" s="5"/>
      <x:c r="G83" s="5"/>
      <x:c r="H83" s="5"/>
      <x:c r="I83" s="5"/>
      <x:c r="J83" s="5"/>
    </x:row>
    <x:row r="84">
      <x:c r="A84" s="5"/>
      <x:c r="B84" s="5"/>
      <x:c r="C84" s="5"/>
      <x:c r="D84" s="5"/>
      <x:c r="E84" s="5"/>
      <x:c r="F84" s="5"/>
      <x:c r="G84" s="5"/>
      <x:c r="H84" s="5"/>
      <x:c r="I84" s="5"/>
      <x:c r="J84" s="5"/>
    </x:row>
    <x:row r="85">
      <x:c r="A85" s="5"/>
      <x:c r="B85" s="5"/>
      <x:c r="C85" s="5"/>
      <x:c r="D85" s="5"/>
      <x:c r="E85" s="5"/>
      <x:c r="F85" s="5"/>
      <x:c r="G85" s="5"/>
      <x:c r="H85" s="5"/>
      <x:c r="I85" s="5"/>
      <x:c r="J85" s="5"/>
    </x:row>
    <x:row r="86">
      <x:c r="A86" s="5"/>
      <x:c r="B86" s="5"/>
      <x:c r="C86" s="5"/>
      <x:c r="D86" s="5"/>
      <x:c r="E86" s="5"/>
      <x:c r="F86" s="5"/>
      <x:c r="G86" s="5"/>
      <x:c r="H86" s="5"/>
      <x:c r="I86" s="5"/>
      <x:c r="J86" s="5"/>
    </x:row>
    <x:row r="87">
      <x:c r="A87" s="5"/>
      <x:c r="B87" s="5"/>
      <x:c r="C87" s="5"/>
      <x:c r="D87" s="5"/>
      <x:c r="E87" s="5"/>
      <x:c r="F87" s="5"/>
      <x:c r="G87" s="5"/>
      <x:c r="H87" s="5"/>
      <x:c r="I87" s="5"/>
      <x:c r="J87" s="5"/>
    </x:row>
    <x:row r="88">
      <x:c r="A88" s="5"/>
      <x:c r="B88" s="5"/>
      <x:c r="C88" s="5"/>
      <x:c r="D88" s="5"/>
      <x:c r="E88" s="5"/>
      <x:c r="F88" s="5"/>
      <x:c r="G88" s="5"/>
      <x:c r="H88" s="5"/>
      <x:c r="I88" s="5"/>
      <x:c r="J88" s="5"/>
    </x:row>
    <x:row r="89">
      <x:c r="A89" s="5"/>
      <x:c r="B89" s="5"/>
      <x:c r="C89" s="5"/>
      <x:c r="D89" s="5"/>
      <x:c r="E89" s="5"/>
      <x:c r="F89" s="5"/>
      <x:c r="G89" s="5"/>
      <x:c r="H89" s="5"/>
      <x:c r="I89" s="5"/>
      <x:c r="J89" s="5"/>
    </x:row>
    <x:row r="90">
      <x:c r="A90" s="5"/>
      <x:c r="B90" s="5"/>
      <x:c r="C90" s="5"/>
      <x:c r="D90" s="5"/>
      <x:c r="E90" s="5"/>
      <x:c r="F90" s="5"/>
      <x:c r="G90" s="5"/>
      <x:c r="H90" s="5"/>
      <x:c r="I90" s="5"/>
      <x:c r="J90" s="5"/>
    </x:row>
    <x:row r="91">
      <x:c r="A91" s="5"/>
      <x:c r="B91" s="5"/>
      <x:c r="C91" s="5"/>
      <x:c r="D91" s="5"/>
      <x:c r="E91" s="5"/>
      <x:c r="F91" s="5"/>
      <x:c r="G91" s="5"/>
      <x:c r="H91" s="5"/>
      <x:c r="I91" s="5"/>
      <x:c r="J91" s="5"/>
    </x:row>
    <x:row r="92">
      <x:c r="A92" s="5"/>
      <x:c r="B92" s="5"/>
      <x:c r="C92" s="5"/>
      <x:c r="D92" s="5"/>
      <x:c r="E92" s="5"/>
      <x:c r="F92" s="5"/>
      <x:c r="G92" s="5"/>
      <x:c r="H92" s="5"/>
      <x:c r="I92" s="5"/>
      <x:c r="J92" s="5"/>
    </x:row>
    <x:row r="93">
      <x:c r="A93" s="5"/>
      <x:c r="B93" s="5"/>
      <x:c r="C93" s="5"/>
      <x:c r="D93" s="5"/>
      <x:c r="E93" s="5"/>
      <x:c r="F93" s="5"/>
      <x:c r="G93" s="5"/>
      <x:c r="H93" s="5"/>
      <x:c r="I93" s="5"/>
      <x:c r="J93" s="5"/>
    </x:row>
    <x:row r="94">
      <x:c r="A94" s="5"/>
      <x:c r="B94" s="5"/>
      <x:c r="C94" s="5"/>
      <x:c r="D94" s="5"/>
      <x:c r="E94" s="5"/>
      <x:c r="F94" s="5"/>
      <x:c r="G94" s="5"/>
      <x:c r="H94" s="5"/>
      <x:c r="I94" s="5"/>
      <x:c r="J94" s="5"/>
    </x:row>
    <x:row r="95">
      <x:c r="A95" s="5"/>
      <x:c r="B95" s="5"/>
      <x:c r="C95" s="5"/>
      <x:c r="D95" s="5"/>
      <x:c r="E95" s="5"/>
      <x:c r="F95" s="5"/>
      <x:c r="G95" s="5"/>
      <x:c r="H95" s="5"/>
      <x:c r="I95" s="5"/>
      <x:c r="J95" s="5"/>
    </x:row>
    <x:row r="96">
      <x:c r="A96" s="5"/>
      <x:c r="B96" s="5"/>
      <x:c r="C96" s="5"/>
      <x:c r="D96" s="5"/>
      <x:c r="E96" s="5"/>
      <x:c r="F96" s="5"/>
      <x:c r="G96" s="5"/>
      <x:c r="H96" s="5"/>
      <x:c r="I96" s="5"/>
      <x:c r="J96" s="5"/>
    </x:row>
    <x:row r="97">
      <x:c r="A97" s="5"/>
      <x:c r="B97" s="5"/>
      <x:c r="C97" s="5"/>
      <x:c r="D97" s="5"/>
      <x:c r="E97" s="5"/>
      <x:c r="F97" s="5"/>
      <x:c r="G97" s="5"/>
      <x:c r="H97" s="5"/>
      <x:c r="I97" s="5"/>
      <x:c r="J97" s="5"/>
    </x:row>
    <x:row r="98">
      <x:c r="A98" s="5"/>
      <x:c r="B98" s="5"/>
      <x:c r="C98" s="5"/>
      <x:c r="D98" s="5"/>
      <x:c r="E98" s="5"/>
      <x:c r="F98" s="5"/>
      <x:c r="G98" s="5"/>
      <x:c r="H98" s="5"/>
      <x:c r="I98" s="5"/>
      <x:c r="J98" s="5"/>
    </x:row>
    <x:row r="99">
      <x:c r="A99" s="5"/>
      <x:c r="B99" s="5"/>
      <x:c r="C99" s="5"/>
      <x:c r="D99" s="5"/>
      <x:c r="E99" s="5"/>
      <x:c r="F99" s="5"/>
      <x:c r="G99" s="5"/>
      <x:c r="H99" s="5"/>
      <x:c r="I99" s="5"/>
      <x:c r="J99" s="5"/>
    </x:row>
    <x:row r="100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</x:row>
    <x:row r="10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</x:row>
    <x:row r="102">
      <x:c r="A102" s="5"/>
      <x:c r="B102" s="5"/>
      <x:c r="C102" s="5"/>
      <x:c r="D102" s="5"/>
      <x:c r="E102" s="5"/>
      <x:c r="F102" s="5"/>
      <x:c r="G102" s="5"/>
      <x:c r="H102" s="5"/>
      <x:c r="I102" s="5"/>
      <x:c r="J102" s="5"/>
    </x:row>
    <x:row r="103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</x:row>
    <x:row r="104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</x:row>
    <x:row r="105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</x:row>
    <x:row r="106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</x:row>
    <x:row r="107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</x:row>
    <x:row r="108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</x:row>
    <x:row r="109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</x:row>
    <x:row r="110">
      <x:c r="A110" s="5"/>
      <x:c r="B110" s="5"/>
      <x:c r="C110" s="5"/>
      <x:c r="D110" s="5"/>
      <x:c r="E110" s="5"/>
      <x:c r="F110" s="5"/>
      <x:c r="G110" s="5"/>
      <x:c r="H110" s="5"/>
      <x:c r="I110" s="5"/>
      <x:c r="J110" s="5"/>
    </x:row>
  </x:sheetData>
  <x:mergeCells>
    <x:mergeCell ref="A1:F1"/>
  </x:mergeCells>
  <x:dataValidations count="1">
    <x:dataValidation type="list" sqref="E4:E8">
      <x:formula1>"Sí,No,Parcial"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10" defaultColWidth="9" defaultRowHeight="14.25"/>
  <x:cols>
    <x:col min="1" max="1" width="11" customWidth="1"/>
    <x:col min="2" max="2" width="34" customWidth="1"/>
    <x:col min="3" max="3" width="28" customWidth="1"/>
    <x:col min="4" max="4" width="27" customWidth="1"/>
    <x:col min="5" max="5" width="30" customWidth="1"/>
    <x:col min="6" max="6" width="22" customWidth="1"/>
    <x:col min="7" max="7" width="24" customWidth="1"/>
    <x:col min="8" max="8" width="13" customWidth="1"/>
    <x:col min="9" max="9" width="22" customWidth="1"/>
  </x:cols>
  <x:sheetData>
    <x:row r="1" ht="20.25">
      <x:c r="A1" s="9" t="str">
        <x:v>TrazaLab · Pruebas diseñadas y ejecutadas</x:v>
      </x:c>
      <x:c r="B1" s="9"/>
      <x:c r="C1" s="9"/>
      <x:c r="D1" s="9"/>
      <x:c r="E1" s="9"/>
      <x:c r="F1" s="9"/>
      <x:c r="G1" s="9"/>
      <x:c r="H1" s="9"/>
      <x:c r="I1" s="9"/>
      <x:c r="J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ht="15">
      <x:c r="A3" s="1" t="s">
        <x:v>24</x:v>
      </x:c>
      <x:c r="B3" s="1" t="s">
        <x:v>25</x:v>
      </x:c>
      <x:c r="C3" s="1" t="s">
        <x:v>26</x:v>
      </x:c>
      <x:c r="D3" s="1" t="s">
        <x:v>27</x:v>
      </x:c>
      <x:c r="E3" s="1" t="s">
        <x:v>28</x:v>
      </x:c>
      <x:c r="F3" s="1" t="s">
        <x:v>29</x:v>
      </x:c>
      <x:c r="G3" s="1" t="s">
        <x:v>30</x:v>
      </x:c>
      <x:c r="H3" s="1" t="s">
        <x:v>5</x:v>
      </x:c>
      <x:c r="I3" s="1" t="s">
        <x:v>31</x:v>
      </x:c>
      <x:c r="J3" s="5"/>
    </x:row>
    <x:row r="4" ht="52.70000076293945" customHeight="1">
      <x:c r="A4" s="8" t="s">
        <x:v>32</x:v>
      </x:c>
      <x:c r="B4" s="8" t="s">
        <x:v>33</x:v>
      </x:c>
      <x:c r="C4" s="8" t="s">
        <x:v>34</x:v>
      </x:c>
      <x:c r="D4" s="8" t="str">
        <x:v>RegistroIncidenciaPersistenteServicio.registrar(usuarioId, qr, descripción)</x:v>
      </x:c>
      <x:c r="E4" s="8" t="s">
        <x:v>35</x:v>
      </x:c>
      <x:c r="F4" s="8" t="str">
        <x:v>RegistroIncidenciaPersistenteServicio</x:v>
      </x:c>
      <x:c r="G4" s="8" t="str">
        <x:v>UsuarioJpaRepositorio; ComputadoraJpaRepositorio; IncidenciaJpaRepositorio (Mockito)</x:v>
      </x:c>
      <x:c r="H4" s="8" t="str">
        <x:v>Diseñada</x:v>
      </x:c>
      <x:c r="I4" s="8" t="s">
        <x:v>36</x:v>
      </x:c>
      <x:c r="J4" s="5"/>
    </x:row>
    <x:row r="5" ht="39.599998474121094" customHeight="1">
      <x:c r="A5" s="8" t="s">
        <x:v>37</x:v>
      </x:c>
      <x:c r="B5" s="8" t="s">
        <x:v>38</x:v>
      </x:c>
      <x:c r="C5" s="8" t="s">
        <x:v>39</x:v>
      </x:c>
      <x:c r="D5" s="8" t="str">
        <x:v>RegistroIncidenciaPersistenteServicio.registrar(usuarioInactivo, qr, descripción)</x:v>
      </x:c>
      <x:c r="E5" s="8" t="str">
        <x:v>Rechaza el registro y no invoca IncidenciaJpaRepositorio.saveAndFlush().</x:v>
      </x:c>
      <x:c r="F5" s="8" t="str">
        <x:v>RegistroIncidenciaPersistenteServicio</x:v>
      </x:c>
      <x:c r="G5" s="8" t="str">
        <x:v>UsuarioJpaRepositorio; IncidenciaJpaRepositorio (Mockito)</x:v>
      </x:c>
      <x:c r="H5" s="8" t="str">
        <x:v>Diseñada</x:v>
      </x:c>
      <x:c r="I5" s="8" t="s">
        <x:v>40</x:v>
      </x:c>
      <x:c r="J5" s="5"/>
    </x:row>
    <x:row r="6" ht="39.599998474121094" customHeight="1">
      <x:c r="A6" s="8" t="s">
        <x:v>41</x:v>
      </x:c>
      <x:c r="B6" s="8" t="s">
        <x:v>42</x:v>
      </x:c>
      <x:c r="C6" s="8" t="s">
        <x:v>43</x:v>
      </x:c>
      <x:c r="D6" s="8" t="str">
        <x:v>Endpoint web futuro de incidencias</x:v>
      </x:c>
      <x:c r="E6" s="8" t="s">
        <x:v>44</x:v>
      </x:c>
      <x:c r="F6" s="8" t="str">
        <x:v>Seguridad web futura</x:v>
      </x:c>
      <x:c r="G6" s="8" t="s">
        <x:v>45</x:v>
      </x:c>
      <x:c r="H6" s="8" t="str">
        <x:v>Diseñada</x:v>
      </x:c>
      <x:c r="I6" s="8" t="s">
        <x:v>46</x:v>
      </x:c>
      <x:c r="J6" s="5"/>
    </x:row>
    <x:row r="7" ht="39.599998474121094" customHeight="1">
      <x:c r="A7" s="8" t="s">
        <x:v>47</x:v>
      </x:c>
      <x:c r="B7" s="8" t="s">
        <x:v>48</x:v>
      </x:c>
      <x:c r="C7" s="8" t="str">
        <x:v>Usuario y computadora existentes; descripción en blanco</x:v>
      </x:c>
      <x:c r="D7" s="8" t="str">
        <x:v>RegistroIncidenciaPersistenteServicio.registrar(..., descripción vacía)</x:v>
      </x:c>
      <x:c r="E7" s="8" t="str">
        <x:v>Lanza IllegalArgumentException y no guarda una incidencia.</x:v>
      </x:c>
      <x:c r="F7" s="8" t="str">
        <x:v>RegistroIncidenciaPersistenteServicio</x:v>
      </x:c>
      <x:c r="G7" s="8" t="str">
        <x:v>PostgreSQL temporal con Testcontainers; no usa MockMvc.</x:v>
      </x:c>
      <x:c r="H7" s="8" t="str">
        <x:v>Ejecutada</x:v>
      </x:c>
      <x:c r="I7" s="8" t="str">
        <x:v>rechazaDescripcionVaciaSinGuardar: pasó el 27/10/2026.</x:v>
      </x:c>
      <x:c r="J7" s="5"/>
    </x:row>
    <x:row r="8" ht="26.450000762939453" customHeight="1">
      <x:c r="A8" s="8" t="s">
        <x:v>49</x:v>
      </x:c>
      <x:c r="B8" s="8" t="s">
        <x:v>50</x:v>
      </x:c>
      <x:c r="C8" s="8" t="s">
        <x:v>51</x:v>
      </x:c>
      <x:c r="D8" s="8" t="str">
        <x:v>RegistroIncidenciaPersistenteServicio.consultarHistorialComputadora(qr)</x:v>
      </x:c>
      <x:c r="E8" s="8" t="s">
        <x:v>52</x:v>
      </x:c>
      <x:c r="F8" s="8" t="str">
        <x:v>RegistroIncidenciaPersistenteServicio</x:v>
      </x:c>
      <x:c r="G8" s="8" t="str">
        <x:v>ComputadoraJpaRepositorio (Mockito)</x:v>
      </x:c>
      <x:c r="H8" s="8" t="str">
        <x:v>Diseñada</x:v>
      </x:c>
      <x:c r="I8" s="8" t="s">
        <x:v>53</x:v>
      </x:c>
      <x:c r="J8" s="5"/>
    </x:row>
    <x:row r="9" ht="26.450000762939453" customHeight="1">
      <x:c r="A9" s="8" t="s">
        <x:v>54</x:v>
      </x:c>
      <x:c r="B9" s="8" t="s">
        <x:v>55</x:v>
      </x:c>
      <x:c r="C9" s="8" t="s">
        <x:v>56</x:v>
      </x:c>
      <x:c r="D9" s="8" t="str">
        <x:v>RegistroIncidenciaPersistenteServicio.consultarHistorialComputadora(qr)</x:v>
      </x:c>
      <x:c r="E9" s="8" t="str">
        <x:v>Lanza IllegalArgumentException para el QR inexistente sin mostrar otro equipo.</x:v>
      </x:c>
      <x:c r="F9" s="8" t="str">
        <x:v>RegistroIncidenciaPersistenteServicio</x:v>
      </x:c>
      <x:c r="G9" s="8" t="str">
        <x:v>ComputadoraJpaRepositorio (Mockito)</x:v>
      </x:c>
      <x:c r="H9" s="8" t="str">
        <x:v>Diseñada</x:v>
      </x:c>
      <x:c r="I9" s="8" t="s">
        <x:v>57</x:v>
      </x:c>
      <x:c r="J9" s="5"/>
    </x:row>
    <x:row r="10" ht="26.450000762939453" customHeight="1">
      <x:c r="A10" s="8" t="s">
        <x:v>58</x:v>
      </x:c>
      <x:c r="B10" s="8" t="s">
        <x:v>59</x:v>
      </x:c>
      <x:c r="C10" s="8" t="s">
        <x:v>60</x:v>
      </x:c>
      <x:c r="D10" s="8" t="str">
        <x:v>Servicio futuro de historial completo</x:v>
      </x:c>
      <x:c r="E10" s="8" t="s">
        <x:v>61</x:v>
      </x:c>
      <x:c r="F10" s="8" t="str">
        <x:v>HistorialService previsto</x:v>
      </x:c>
      <x:c r="G10" s="8" t="str">
        <x:v>Repositorio de historial previsto</x:v>
      </x:c>
      <x:c r="H10" s="8" t="str">
        <x:v>Diseñada</x:v>
      </x:c>
      <x:c r="I10" s="8" t="s">
        <x:v>62</x:v>
      </x:c>
      <x:c r="J10" s="5"/>
    </x:row>
    <x:row r="11" ht="26.450000762939453" customHeight="1">
      <x:c r="A11" s="8" t="s">
        <x:v>63</x:v>
      </x:c>
      <x:c r="B11" s="8" t="s">
        <x:v>64</x:v>
      </x:c>
      <x:c r="C11" s="8" t="s">
        <x:v>65</x:v>
      </x:c>
      <x:c r="D11" s="8" t="str">
        <x:v>FallaService previsto</x:v>
      </x:c>
      <x:c r="E11" s="8" t="s">
        <x:v>66</x:v>
      </x:c>
      <x:c r="F11" s="8" t="str">
        <x:v>FallaService previsto</x:v>
      </x:c>
      <x:c r="G11" s="8" t="str">
        <x:v>Repositorios de falla y catálogo previstos</x:v>
      </x:c>
      <x:c r="H11" s="8" t="str">
        <x:v>Diseñada</x:v>
      </x:c>
      <x:c r="I11" s="8" t="s">
        <x:v>67</x:v>
      </x:c>
      <x:c r="J11" s="5"/>
    </x:row>
    <x:row r="12" ht="52.70000076293945" customHeight="1">
      <x:c r="A12" s="8" t="s">
        <x:v>68</x:v>
      </x:c>
      <x:c r="B12" s="8" t="s">
        <x:v>69</x:v>
      </x:c>
      <x:c r="C12" s="8" t="s">
        <x:v>70</x:v>
      </x:c>
      <x:c r="D12" s="8" t="str">
        <x:v>MantenimientoService previsto</x:v>
      </x:c>
      <x:c r="E12" s="8" t="s">
        <x:v>71</x:v>
      </x:c>
      <x:c r="F12" s="8" t="str">
        <x:v>MantenimientoService previsto</x:v>
      </x:c>
      <x:c r="G12" s="8" t="str">
        <x:v>Repositorios de mantenimiento previstos</x:v>
      </x:c>
      <x:c r="H12" s="8" t="str">
        <x:v>Diseñada</x:v>
      </x:c>
      <x:c r="I12" s="8" t="s">
        <x:v>72</x:v>
      </x:c>
      <x:c r="J12" s="5"/>
    </x:row>
    <x:row r="13" ht="39.599998474121094" customHeight="1">
      <x:c r="A13" s="8" t="s">
        <x:v>73</x:v>
      </x:c>
      <x:c r="B13" s="8" t="s">
        <x:v>74</x:v>
      </x:c>
      <x:c r="C13" s="8" t="s">
        <x:v>75</x:v>
      </x:c>
      <x:c r="D13" s="8" t="str">
        <x:v>Servicio de disponibilidad previsto</x:v>
      </x:c>
      <x:c r="E13" s="8" t="s">
        <x:v>76</x:v>
      </x:c>
      <x:c r="F13" s="8" t="str">
        <x:v>Servicio de disponibilidad previsto</x:v>
      </x:c>
      <x:c r="G13" s="8" t="str">
        <x:v>Repositorio de actualización previsto</x:v>
      </x:c>
      <x:c r="H13" s="8" t="str">
        <x:v>Diseñada</x:v>
      </x:c>
      <x:c r="I13" s="8" t="s">
        <x:v>77</x:v>
      </x:c>
      <x:c r="J13" s="5"/>
    </x:row>
    <x:row r="14" ht="39.599998474121094" customHeight="1">
      <x:c r="A14" s="8" t="s">
        <x:v>78</x:v>
      </x:c>
      <x:c r="B14" s="8" t="s">
        <x:v>79</x:v>
      </x:c>
      <x:c r="C14" s="8" t="s">
        <x:v>80</x:v>
      </x:c>
      <x:c r="D14" s="8" t="str">
        <x:v>RegistroIncidenciaPersistenteServicio.registrar() y lectura mediante IncidenciaJpaRepositorio</x:v>
      </x:c>
      <x:c r="E14" s="8" t="str">
        <x:v>Recupera la incidencia relacionada con el usuario y la computadora correctos.</x:v>
      </x:c>
      <x:c r="F14" s="8" t="str">
        <x:v>Servicio y repositorios JPA</x:v>
      </x:c>
      <x:c r="G14" s="8" t="str">
        <x:v>@SpringBootTest + PostgreSQL temporal de Testcontainers; no @DataJpaTest.</x:v>
      </x:c>
      <x:c r="H14" s="8" t="str">
        <x:v>Ejecutada</x:v>
      </x:c>
      <x:c r="I14" s="8" t="str">
        <x:v>registraYRecuperaLaIncidenciaEnPostgresql: pasó el 27/10/2026.</x:v>
      </x:c>
      <x:c r="J14" s="5"/>
    </x:row>
    <x:row r="15" ht="39.599998474121094" customHeight="1">
      <x:c r="A15" s="8" t="s">
        <x:v>81</x:v>
      </x:c>
      <x:c r="B15" s="8" t="s">
        <x:v>82</x:v>
      </x:c>
      <x:c r="C15" s="8" t="s">
        <x:v>83</x:v>
      </x:c>
      <x:c r="D15" s="8" t="str">
        <x:v>ReporteService previsto</x:v>
      </x:c>
      <x:c r="E15" s="8" t="s">
        <x:v>84</x:v>
      </x:c>
      <x:c r="F15" s="8" t="str">
        <x:v>ReporteService previsto</x:v>
      </x:c>
      <x:c r="G15" s="8" t="str">
        <x:v>Repositorio de recurrencia previsto</x:v>
      </x:c>
      <x:c r="H15" s="8" t="str">
        <x:v>Diseñada</x:v>
      </x:c>
      <x:c r="I15" s="8" t="s">
        <x:v>85</x:v>
      </x:c>
      <x:c r="J15" s="5"/>
    </x:row>
    <x:row r="16">
      <x:c r="J16" s="5"/>
    </x:row>
    <x:row r="17">
      <x:c r="J17" s="5"/>
    </x:row>
    <x:row r="18">
      <x:c r="J18" s="5"/>
    </x:row>
    <x:row r="19">
      <x:c r="J19" s="5"/>
    </x:row>
    <x:row r="20">
      <x:c r="J20" s="5"/>
    </x:row>
    <x:row r="21">
      <x:c r="J21" s="5"/>
    </x:row>
    <x:row r="22">
      <x:c r="J22" s="5"/>
    </x:row>
    <x:row r="23">
      <x:c r="J23" s="5"/>
    </x:row>
    <x:row r="24">
      <x:c r="J24" s="5"/>
    </x:row>
    <x:row r="25">
      <x:c r="J25" s="5"/>
    </x:row>
    <x:row r="26">
      <x:c r="J26" s="5"/>
    </x:row>
    <x:row r="27">
      <x:c r="J27" s="5"/>
    </x:row>
    <x:row r="28">
      <x:c r="J28" s="5"/>
    </x:row>
    <x:row r="29">
      <x:c r="J29" s="5"/>
    </x:row>
    <x:row r="30">
      <x:c r="J30" s="5"/>
    </x:row>
    <x:row r="31">
      <x:c r="J31" s="5"/>
    </x:row>
    <x:row r="32">
      <x:c r="J32" s="5"/>
    </x:row>
    <x:row r="33">
      <x:c r="J33" s="5"/>
    </x:row>
    <x:row r="34">
      <x:c r="J34" s="5"/>
    </x:row>
    <x:row r="35">
      <x:c r="J35" s="5"/>
    </x:row>
    <x:row r="36">
      <x:c r="J36" s="5"/>
    </x:row>
    <x:row r="37">
      <x:c r="J37" s="5"/>
    </x:row>
    <x:row r="38">
      <x:c r="J38" s="5"/>
    </x:row>
    <x:row r="39">
      <x:c r="J39" s="5"/>
    </x:row>
    <x:row r="40">
      <x:c r="J40" s="5"/>
    </x:row>
    <x:row r="41">
      <x:c r="J41" s="5"/>
    </x:row>
    <x:row r="42">
      <x:c r="J42" s="5"/>
    </x:row>
    <x:row r="43">
      <x:c r="J43" s="5"/>
    </x:row>
    <x:row r="44">
      <x:c r="J44" s="5"/>
    </x:row>
    <x:row r="45">
      <x:c r="J45" s="5"/>
    </x:row>
    <x:row r="46">
      <x:c r="J46" s="5"/>
    </x:row>
    <x:row r="47">
      <x:c r="J47" s="5"/>
    </x:row>
    <x:row r="48">
      <x:c r="J48" s="5"/>
    </x:row>
    <x:row r="49">
      <x:c r="J49" s="5"/>
    </x:row>
    <x:row r="50">
      <x:c r="J50" s="5"/>
    </x:row>
    <x:row r="51">
      <x:c r="J51" s="5"/>
    </x:row>
    <x:row r="52">
      <x:c r="J52" s="5"/>
    </x:row>
    <x:row r="53">
      <x:c r="J53" s="5"/>
    </x:row>
    <x:row r="54">
      <x:c r="J54" s="5"/>
    </x:row>
    <x:row r="55">
      <x:c r="J55" s="5"/>
    </x:row>
    <x:row r="56">
      <x:c r="J56" s="5"/>
    </x:row>
    <x:row r="57">
      <x:c r="J57" s="5"/>
    </x:row>
    <x:row r="58">
      <x:c r="J58" s="5"/>
    </x:row>
    <x:row r="59">
      <x:c r="J59" s="5"/>
    </x:row>
    <x:row r="60">
      <x:c r="J60" s="5"/>
    </x:row>
    <x:row r="61">
      <x:c r="J61" s="5"/>
    </x:row>
    <x:row r="62">
      <x:c r="J62" s="5"/>
    </x:row>
    <x:row r="63">
      <x:c r="J63" s="5"/>
    </x:row>
    <x:row r="64">
      <x:c r="J64" s="5"/>
    </x:row>
    <x:row r="65">
      <x:c r="J65" s="5"/>
    </x:row>
    <x:row r="66">
      <x:c r="J66" s="5"/>
    </x:row>
    <x:row r="67">
      <x:c r="J67" s="5"/>
    </x:row>
    <x:row r="68">
      <x:c r="J68" s="5"/>
    </x:row>
    <x:row r="69">
      <x:c r="J69" s="5"/>
    </x:row>
    <x:row r="70">
      <x:c r="J70" s="5"/>
    </x:row>
    <x:row r="71">
      <x:c r="J71" s="5"/>
    </x:row>
    <x:row r="72">
      <x:c r="J72" s="5"/>
    </x:row>
    <x:row r="73">
      <x:c r="J73" s="5"/>
    </x:row>
    <x:row r="74">
      <x:c r="J74" s="5"/>
    </x:row>
    <x:row r="75">
      <x:c r="J75" s="5"/>
    </x:row>
    <x:row r="76">
      <x:c r="J76" s="5"/>
    </x:row>
    <x:row r="77">
      <x:c r="J77" s="5"/>
    </x:row>
    <x:row r="78">
      <x:c r="J78" s="5"/>
    </x:row>
    <x:row r="79">
      <x:c r="J79" s="5"/>
    </x:row>
    <x:row r="80">
      <x:c r="J80" s="5"/>
    </x:row>
    <x:row r="81">
      <x:c r="J81" s="5"/>
    </x:row>
    <x:row r="82">
      <x:c r="J82" s="5"/>
    </x:row>
    <x:row r="83">
      <x:c r="J83" s="5"/>
    </x:row>
    <x:row r="84">
      <x:c r="J84" s="5"/>
    </x:row>
    <x:row r="85">
      <x:c r="J85" s="5"/>
    </x:row>
    <x:row r="86">
      <x:c r="J86" s="5"/>
    </x:row>
    <x:row r="87">
      <x:c r="J87" s="5"/>
    </x:row>
    <x:row r="88">
      <x:c r="J88" s="5"/>
    </x:row>
    <x:row r="89">
      <x:c r="J89" s="5"/>
    </x:row>
    <x:row r="90">
      <x:c r="J90" s="5"/>
    </x:row>
    <x:row r="91">
      <x:c r="J91" s="5"/>
    </x:row>
    <x:row r="92">
      <x:c r="J92" s="5"/>
    </x:row>
    <x:row r="93">
      <x:c r="J93" s="5"/>
    </x:row>
    <x:row r="94">
      <x:c r="J94" s="5"/>
    </x:row>
    <x:row r="95">
      <x:c r="J95" s="5"/>
    </x:row>
    <x:row r="96">
      <x:c r="J96" s="5"/>
    </x:row>
    <x:row r="97">
      <x:c r="J97" s="5"/>
    </x:row>
    <x:row r="98">
      <x:c r="J98" s="5"/>
    </x:row>
    <x:row r="99">
      <x:c r="J99" s="5"/>
    </x:row>
    <x:row r="100">
      <x:c r="J100" s="5"/>
    </x:row>
    <x:row r="101">
      <x:c r="J101" s="5"/>
    </x:row>
    <x:row r="102">
      <x:c r="J102" s="5"/>
    </x:row>
    <x:row r="103">
      <x:c r="J103" s="5"/>
    </x:row>
    <x:row r="104">
      <x:c r="J104" s="5"/>
    </x:row>
    <x:row r="105">
      <x:c r="J105" s="5"/>
    </x:row>
    <x:row r="106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</x:row>
    <x:row r="107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</x:row>
    <x:row r="108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</x:row>
    <x:row r="109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</x:row>
    <x:row r="110">
      <x:c r="A110" s="5"/>
      <x:c r="B110" s="5"/>
      <x:c r="C110" s="5"/>
      <x:c r="D110" s="5"/>
      <x:c r="E110" s="5"/>
      <x:c r="F110" s="5"/>
      <x:c r="G110" s="5"/>
      <x:c r="H110" s="5"/>
      <x:c r="I110" s="5"/>
      <x:c r="J110" s="5"/>
    </x:row>
  </x:sheetData>
  <x:mergeCells>
    <x:mergeCell ref="A1:I1"/>
  </x:mergeCells>
  <x:dataValidations count="1">
    <x:dataValidation type="list" sqref="H4:H15">
      <x:formula1>"Diseñada,Pendiente,En ejecución,Ejecutada,Bloqueada"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10" defaultColWidth="9" defaultRowHeight="14.25"/>
  <x:cols>
    <x:col min="1" max="1" width="11" customWidth="1"/>
    <x:col min="2" max="2" width="14" customWidth="1"/>
    <x:col min="3" max="3" width="32" customWidth="1"/>
    <x:col min="4" max="4" width="30" customWidth="1"/>
    <x:col min="5" max="5" width="32" customWidth="1"/>
    <x:col min="6" max="6" width="22" customWidth="1"/>
    <x:col min="7" max="7" width="18" customWidth="1"/>
    <x:col min="8" max="8" width="14" customWidth="1"/>
  </x:cols>
  <x:sheetData>
    <x:row r="1" ht="20.25">
      <x:c r="A1" s="9" t="str">
        <x:v>TrazaLab · Evidencia local al 27/10/2026</x:v>
      </x:c>
      <x:c r="B1" s="9"/>
      <x:c r="C1" s="9"/>
      <x:c r="D1" s="9"/>
      <x:c r="E1" s="9"/>
      <x:c r="F1" s="9"/>
      <x:c r="G1" s="9"/>
      <x:c r="H1" s="9"/>
      <x:c r="I1" s="5"/>
      <x:c r="J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ht="15">
      <x:c r="A3" s="1" t="s">
        <x:v>24</x:v>
      </x:c>
      <x:c r="B3" s="1" t="s">
        <x:v>86</x:v>
      </x:c>
      <x:c r="C3" s="1" t="s">
        <x:v>87</x:v>
      </x:c>
      <x:c r="D3" s="1" t="s">
        <x:v>88</x:v>
      </x:c>
      <x:c r="E3" s="1" t="s">
        <x:v>89</x:v>
      </x:c>
      <x:c r="F3" s="1" t="s">
        <x:v>90</x:v>
      </x:c>
      <x:c r="G3" s="1" t="s">
        <x:v>91</x:v>
      </x:c>
      <x:c r="H3" s="1" t="s">
        <x:v>5</x:v>
      </x:c>
      <x:c r="I3" s="5"/>
      <x:c r="J3" s="5"/>
    </x:row>
    <x:row r="4" ht="42" customHeight="1">
      <x:c r="A4" s="26" t="str">
        <x:v>EV-01</x:v>
      </x:c>
      <x:c r="B4" s="26" t="str">
        <x:v>Prueba</x:v>
      </x:c>
      <x:c r="C4" s="26" t="str">
        <x:v>Registro y lectura de incidencia con relaciones JPA</x:v>
      </x:c>
      <x:c r="D4" s="26" t="str">
        <x:v>src/test/java/com/utp/trazalab/integration/RegistroIncidenciaJpaTest.java</x:v>
      </x:c>
      <x:c r="E4" s="26" t="str">
        <x:v>mvnw.cmd -q test: 2 pruebas, 0 fallos, 0 errores, 0 omitidas</x:v>
      </x:c>
      <x:c r="F4" s="26" t="str">
        <x:v>RF-05 / PI-T11</x:v>
      </x:c>
      <x:c r="G4" s="26" t="str">
        <x:v>Equipo</x:v>
      </x:c>
      <x:c r="H4" s="26" t="str">
        <x:v>Verificada</x:v>
      </x:c>
      <x:c r="I4" s="5"/>
      <x:c r="J4" s="5"/>
    </x:row>
    <x:row r="5" ht="42" customHeight="1">
      <x:c r="A5" s="26" t="str">
        <x:v>EV-02</x:v>
      </x:c>
      <x:c r="B5" s="26" t="str">
        <x:v>Prueba</x:v>
      </x:c>
      <x:c r="C5" s="26" t="str">
        <x:v>Rechazo de descripción vacía sin guardar</x:v>
      </x:c>
      <x:c r="D5" s="26" t="str">
        <x:v>src/test/java/com/utp/trazalab/integration/RegistroIncidenciaJpaTest.java</x:v>
      </x:c>
      <x:c r="E5" s="26" t="str">
        <x:v>Prueba rechazaDescripcionVaciaSinGuardar aprobada</x:v>
      </x:c>
      <x:c r="F5" s="26" t="str">
        <x:v>RF-05 / PI-T04</x:v>
      </x:c>
      <x:c r="G5" s="26" t="str">
        <x:v>Equipo</x:v>
      </x:c>
      <x:c r="H5" s="26" t="str">
        <x:v>Verificada</x:v>
      </x:c>
      <x:c r="I5" s="5"/>
      <x:c r="J5" s="5"/>
    </x:row>
    <x:row r="6" ht="42" customHeight="1">
      <x:c r="A6" s="26" t="str">
        <x:v>EV-03</x:v>
      </x:c>
      <x:c r="B6" s="26" t="str">
        <x:v>BD</x:v>
      </x:c>
      <x:c r="C6" s="26" t="str">
        <x:v>Esquema de PostgreSQL y consulta local de solo lectura</x:v>
      </x:c>
      <x:c r="D6" s="26" t="str">
        <x:v>database/01_trazalab_schema.sql; database/compose.yaml</x:v>
      </x:c>
      <x:c r="E6" s="26" t="str">
        <x:v>El 27/10/2026 la base local respondió: 14 tablas, 4 vistas; 1 equipo y 6 incidencias. No equivale al piloto.</x:v>
      </x:c>
      <x:c r="F6" s="26" t="str">
        <x:v>RF-05 / RE-01</x:v>
      </x:c>
      <x:c r="G6" s="26" t="str">
        <x:v>Equipo</x:v>
      </x:c>
      <x:c r="H6" s="26" t="str">
        <x:v>Verificada</x:v>
      </x:c>
      <x:c r="I6" s="5"/>
      <x:c r="J6" s="5"/>
    </x:row>
    <x:row r="7" ht="42" customHeight="1">
      <x:c r="A7" s="26" t="str">
        <x:v>EV-04</x:v>
      </x:c>
      <x:c r="B7" s="26" t="str">
        <x:v>Log</x:v>
      </x:c>
      <x:c r="C7" s="26" t="str">
        <x:v>Contrato de eventos funcionales y adaptador Logback</x:v>
      </x:c>
      <x:c r="D7" s="26" t="str">
        <x:v>src/main/java/com/utp/trazalab/logging/LoggingAplicacion.java; src/main/resources/logback-spring.xml</x:v>
      </x:c>
      <x:c r="E7" s="26" t="str">
        <x:v>Código existente; archivo de ejecución manual no adjuntado a esta matriz</x:v>
      </x:c>
      <x:c r="F7" s="26" t="str">
        <x:v>RF-05 / RNF-02</x:v>
      </x:c>
      <x:c r="G7" s="26" t="str">
        <x:v>Equipo</x:v>
      </x:c>
      <x:c r="H7" s="26" t="str">
        <x:v>Código existente</x:v>
      </x:c>
      <x:c r="I7" s="5"/>
      <x:c r="J7" s="5"/>
    </x:row>
    <x:row r="8" ht="42" customHeight="1">
      <x:c r="A8" s="26" t="str">
        <x:v>EV-05</x:v>
      </x:c>
      <x:c r="B8" s="26" t="str">
        <x:v>Interfaz</x:v>
      </x:c>
      <x:c r="C8" s="26" t="str">
        <x:v>Pantalla gráfica P04 y autenticación de operador</x:v>
      </x:c>
      <x:c r="D8" s="26" t="str">
        <x:v>APF02/Pantallas UI UX.xlsx</x:v>
      </x:c>
      <x:c r="E8" s="26" t="str">
        <x:v>Diseño existente; la aplicación actual solicita datos en consola</x:v>
      </x:c>
      <x:c r="F8" s="26" t="str">
        <x:v>RF-05 / P04</x:v>
      </x:c>
      <x:c r="G8" s="26" t="str">
        <x:v>Equipo</x:v>
      </x:c>
      <x:c r="H8" s="26" t="str">
        <x:v>Pendiente</x:v>
      </x:c>
      <x:c r="I8" s="5"/>
      <x:c r="J8" s="5"/>
    </x:row>
    <x:row r="9" ht="42" customHeight="1">
      <x:c r="A9" s="26" t="str">
        <x:v>EV-06</x:v>
      </x:c>
      <x:c r="B9" s="26" t="str">
        <x:v>Diagrama</x:v>
      </x:c>
      <x:c r="C9" s="26" t="str">
        <x:v>Arquitectura, flujo RF-05 y ciclo TDD</x:v>
      </x:c>
      <x:c r="D9" s="26" t="str">
        <x:v>docs/TrazaLab_Arquitectura_Trazabilidad.drawio</x:v>
      </x:c>
      <x:c r="E9" s="26" t="str">
        <x:v>Archivo de tres páginas existente; distingue aplicación actual y extensiones</x:v>
      </x:c>
      <x:c r="F9" s="26" t="str">
        <x:v>RF-05 / Arquitectura</x:v>
      </x:c>
      <x:c r="G9" s="26" t="str">
        <x:v>Equipo</x:v>
      </x:c>
      <x:c r="H9" s="26" t="str">
        <x:v>Verificada</x:v>
      </x:c>
      <x:c r="I9" s="5"/>
      <x:c r="J9" s="5"/>
    </x:row>
    <x:row r="10" ht="42" customHeight="1">
      <x:c r="A10" s="26" t="str">
        <x:v>EV-07</x:v>
      </x:c>
      <x:c r="B10" s="26" t="str">
        <x:v>Exportación</x:v>
      </x:c>
      <x:c r="C10" s="26" t="str">
        <x:v>Generadores de incidencias PDF, XLSX y CSV</x:v>
      </x:c>
      <x:c r="D10" s="26" t="str">
        <x:v>src/main/java/com/utp/trazalab/export/</x:v>
      </x:c>
      <x:c r="E10" s="26" t="str">
        <x:v>Tres implementaciones en código; falta prueba automática de los archivos</x:v>
      </x:c>
      <x:c r="F10" s="26" t="str">
        <x:v>EXT-01</x:v>
      </x:c>
      <x:c r="G10" s="26" t="str">
        <x:v>Equipo</x:v>
      </x:c>
      <x:c r="H10" s="26" t="str">
        <x:v>Código existente</x:v>
      </x:c>
      <x:c r="I10" s="5"/>
      <x:c r="J10" s="5"/>
    </x:row>
    <x:row r="11" ht="42" customHeight="1">
      <x:c r="A11" s="26" t="str">
        <x:v>EV-08</x:v>
      </x:c>
      <x:c r="B11" s="26" t="str">
        <x:v>Seguridad</x:v>
      </x:c>
      <x:c r="C11" s="26" t="str">
        <x:v>Autenticación y autorización por operador</x:v>
      </x:c>
      <x:c r="D11" s="26" t="str">
        <x:v>docs/Seguridad y Limites.md</x:v>
      </x:c>
      <x:c r="E11" s="26" t="str">
        <x:v>El ID del reportante no autentica al usuario de consola</x:v>
      </x:c>
      <x:c r="F11" s="26" t="str">
        <x:v>RNF-02</x:v>
      </x:c>
      <x:c r="G11" s="26" t="str">
        <x:v>Equipo</x:v>
      </x:c>
      <x:c r="H11" s="26" t="str">
        <x:v>Pendiente</x:v>
      </x:c>
      <x:c r="I11" s="5"/>
      <x:c r="J11" s="5"/>
    </x:row>
    <x:row r="12">
      <x:c r="I12" s="5"/>
      <x:c r="J12" s="5"/>
    </x:row>
    <x:row r="13">
      <x:c r="I13" s="5"/>
      <x:c r="J13" s="5"/>
    </x:row>
    <x:row r="14">
      <x:c r="I14" s="5"/>
      <x:c r="J14" s="5"/>
    </x:row>
    <x:row r="15">
      <x:c r="I15" s="5"/>
      <x:c r="J15" s="5"/>
    </x:row>
    <x:row r="16">
      <x:c r="I16" s="5"/>
      <x:c r="J16" s="5"/>
    </x:row>
    <x:row r="17">
      <x:c r="I17" s="5"/>
      <x:c r="J17" s="5"/>
    </x:row>
    <x:row r="18">
      <x:c r="I18" s="5"/>
      <x:c r="J18" s="5"/>
    </x:row>
    <x:row r="19">
      <x:c r="I19" s="5"/>
      <x:c r="J19" s="5"/>
    </x:row>
    <x:row r="20">
      <x:c r="I20" s="5"/>
      <x:c r="J20" s="5"/>
    </x:row>
    <x:row r="21">
      <x:c r="I21" s="5"/>
      <x:c r="J21" s="5"/>
    </x:row>
    <x:row r="22">
      <x:c r="I22" s="5"/>
      <x:c r="J22" s="5"/>
    </x:row>
    <x:row r="23">
      <x:c r="I23" s="5"/>
      <x:c r="J23" s="5"/>
    </x:row>
    <x:row r="24">
      <x:c r="I24" s="5"/>
      <x:c r="J24" s="5"/>
    </x:row>
    <x:row r="25">
      <x:c r="I25" s="5"/>
      <x:c r="J25" s="5"/>
    </x:row>
    <x:row r="26">
      <x:c r="I26" s="5"/>
      <x:c r="J26" s="5"/>
    </x:row>
    <x:row r="27">
      <x:c r="I27" s="5"/>
      <x:c r="J27" s="5"/>
    </x:row>
    <x:row r="28">
      <x:c r="I28" s="5"/>
      <x:c r="J28" s="5"/>
    </x:row>
    <x:row r="29">
      <x:c r="I29" s="5"/>
      <x:c r="J29" s="5"/>
    </x:row>
    <x:row r="30">
      <x:c r="I30" s="5"/>
      <x:c r="J30" s="5"/>
    </x:row>
    <x:row r="31">
      <x:c r="I31" s="5"/>
      <x:c r="J31" s="5"/>
    </x:row>
    <x:row r="32">
      <x:c r="I32" s="5"/>
      <x:c r="J32" s="5"/>
    </x:row>
    <x:row r="33">
      <x:c r="I33" s="5"/>
      <x:c r="J33" s="5"/>
    </x:row>
    <x:row r="34">
      <x:c r="I34" s="5"/>
      <x:c r="J34" s="5"/>
    </x:row>
    <x:row r="35">
      <x:c r="I35" s="5"/>
      <x:c r="J35" s="5"/>
    </x:row>
    <x:row r="36">
      <x:c r="I36" s="5"/>
      <x:c r="J36" s="5"/>
    </x:row>
    <x:row r="37">
      <x:c r="I37" s="5"/>
      <x:c r="J37" s="5"/>
    </x:row>
    <x:row r="38">
      <x:c r="I38" s="5"/>
      <x:c r="J38" s="5"/>
    </x:row>
    <x:row r="39">
      <x:c r="I39" s="5"/>
      <x:c r="J39" s="5"/>
    </x:row>
    <x:row r="40">
      <x:c r="I40" s="5"/>
      <x:c r="J40" s="5"/>
    </x:row>
    <x:row r="41">
      <x:c r="I41" s="5"/>
      <x:c r="J41" s="5"/>
    </x:row>
    <x:row r="42">
      <x:c r="I42" s="5"/>
      <x:c r="J42" s="5"/>
    </x:row>
    <x:row r="43">
      <x:c r="I43" s="5"/>
      <x:c r="J43" s="5"/>
    </x:row>
    <x:row r="44">
      <x:c r="I44" s="5"/>
      <x:c r="J44" s="5"/>
    </x:row>
    <x:row r="45">
      <x:c r="I45" s="5"/>
      <x:c r="J45" s="5"/>
    </x:row>
    <x:row r="46">
      <x:c r="I46" s="5"/>
      <x:c r="J46" s="5"/>
    </x:row>
    <x:row r="47">
      <x:c r="I47" s="5"/>
      <x:c r="J47" s="5"/>
    </x:row>
    <x:row r="48">
      <x:c r="I48" s="5"/>
      <x:c r="J48" s="5"/>
    </x:row>
    <x:row r="49">
      <x:c r="I49" s="5"/>
      <x:c r="J49" s="5"/>
    </x:row>
    <x:row r="50">
      <x:c r="I50" s="5"/>
      <x:c r="J50" s="5"/>
    </x:row>
    <x:row r="51">
      <x:c r="I51" s="5"/>
      <x:c r="J51" s="5"/>
    </x:row>
    <x:row r="52">
      <x:c r="I52" s="5"/>
      <x:c r="J52" s="5"/>
    </x:row>
    <x:row r="53">
      <x:c r="I53" s="5"/>
      <x:c r="J53" s="5"/>
    </x:row>
    <x:row r="54">
      <x:c r="I54" s="5"/>
      <x:c r="J54" s="5"/>
    </x:row>
    <x:row r="55">
      <x:c r="I55" s="5"/>
      <x:c r="J55" s="5"/>
    </x:row>
    <x:row r="56">
      <x:c r="I56" s="5"/>
      <x:c r="J56" s="5"/>
    </x:row>
    <x:row r="57">
      <x:c r="I57" s="5"/>
      <x:c r="J57" s="5"/>
    </x:row>
    <x:row r="58">
      <x:c r="I58" s="5"/>
      <x:c r="J58" s="5"/>
    </x:row>
    <x:row r="59">
      <x:c r="I59" s="5"/>
      <x:c r="J59" s="5"/>
    </x:row>
    <x:row r="60">
      <x:c r="I60" s="5"/>
      <x:c r="J60" s="5"/>
    </x:row>
    <x:row r="61">
      <x:c r="I61" s="5"/>
      <x:c r="J61" s="5"/>
    </x:row>
    <x:row r="62">
      <x:c r="I62" s="5"/>
      <x:c r="J62" s="5"/>
    </x:row>
    <x:row r="63">
      <x:c r="I63" s="5"/>
      <x:c r="J63" s="5"/>
    </x:row>
    <x:row r="64">
      <x:c r="I64" s="5"/>
      <x:c r="J64" s="5"/>
    </x:row>
    <x:row r="65">
      <x:c r="I65" s="5"/>
      <x:c r="J65" s="5"/>
    </x:row>
    <x:row r="66">
      <x:c r="I66" s="5"/>
      <x:c r="J66" s="5"/>
    </x:row>
    <x:row r="67">
      <x:c r="I67" s="5"/>
      <x:c r="J67" s="5"/>
    </x:row>
    <x:row r="68">
      <x:c r="I68" s="5"/>
      <x:c r="J68" s="5"/>
    </x:row>
    <x:row r="69">
      <x:c r="I69" s="5"/>
      <x:c r="J69" s="5"/>
    </x:row>
    <x:row r="70">
      <x:c r="I70" s="5"/>
      <x:c r="J70" s="5"/>
    </x:row>
    <x:row r="71">
      <x:c r="I71" s="5"/>
      <x:c r="J71" s="5"/>
    </x:row>
    <x:row r="72">
      <x:c r="I72" s="5"/>
      <x:c r="J72" s="5"/>
    </x:row>
    <x:row r="73">
      <x:c r="I73" s="5"/>
      <x:c r="J73" s="5"/>
    </x:row>
    <x:row r="74">
      <x:c r="I74" s="5"/>
      <x:c r="J74" s="5"/>
    </x:row>
    <x:row r="75">
      <x:c r="I75" s="5"/>
      <x:c r="J75" s="5"/>
    </x:row>
    <x:row r="76">
      <x:c r="I76" s="5"/>
      <x:c r="J76" s="5"/>
    </x:row>
    <x:row r="77">
      <x:c r="I77" s="5"/>
      <x:c r="J77" s="5"/>
    </x:row>
    <x:row r="78">
      <x:c r="I78" s="5"/>
      <x:c r="J78" s="5"/>
    </x:row>
    <x:row r="79">
      <x:c r="I79" s="5"/>
      <x:c r="J79" s="5"/>
    </x:row>
    <x:row r="80">
      <x:c r="I80" s="5"/>
      <x:c r="J80" s="5"/>
    </x:row>
    <x:row r="81">
      <x:c r="I81" s="5"/>
      <x:c r="J81" s="5"/>
    </x:row>
    <x:row r="82">
      <x:c r="I82" s="5"/>
      <x:c r="J82" s="5"/>
    </x:row>
    <x:row r="83">
      <x:c r="I83" s="5"/>
      <x:c r="J83" s="5"/>
    </x:row>
    <x:row r="84">
      <x:c r="I84" s="5"/>
      <x:c r="J84" s="5"/>
    </x:row>
    <x:row r="85">
      <x:c r="I85" s="5"/>
      <x:c r="J85" s="5"/>
    </x:row>
    <x:row r="86">
      <x:c r="I86" s="5"/>
      <x:c r="J86" s="5"/>
    </x:row>
    <x:row r="87">
      <x:c r="I87" s="5"/>
      <x:c r="J87" s="5"/>
    </x:row>
    <x:row r="88">
      <x:c r="I88" s="5"/>
      <x:c r="J88" s="5"/>
    </x:row>
    <x:row r="89">
      <x:c r="I89" s="5"/>
      <x:c r="J89" s="5"/>
    </x:row>
    <x:row r="90">
      <x:c r="I90" s="5"/>
      <x:c r="J90" s="5"/>
    </x:row>
    <x:row r="91">
      <x:c r="I91" s="5"/>
      <x:c r="J91" s="5"/>
    </x:row>
    <x:row r="92">
      <x:c r="I92" s="5"/>
      <x:c r="J92" s="5"/>
    </x:row>
    <x:row r="93">
      <x:c r="I93" s="5"/>
      <x:c r="J93" s="5"/>
    </x:row>
    <x:row r="94">
      <x:c r="I94" s="5"/>
      <x:c r="J94" s="5"/>
    </x:row>
    <x:row r="95">
      <x:c r="I95" s="5"/>
      <x:c r="J95" s="5"/>
    </x:row>
    <x:row r="96">
      <x:c r="I96" s="5"/>
      <x:c r="J96" s="5"/>
    </x:row>
    <x:row r="97">
      <x:c r="I97" s="5"/>
      <x:c r="J97" s="5"/>
    </x:row>
    <x:row r="98">
      <x:c r="I98" s="5"/>
      <x:c r="J98" s="5"/>
    </x:row>
    <x:row r="99">
      <x:c r="I99" s="5"/>
      <x:c r="J99" s="5"/>
    </x:row>
    <x:row r="100">
      <x:c r="I100" s="5"/>
      <x:c r="J100" s="5"/>
    </x:row>
    <x:row r="101">
      <x:c r="I101" s="5"/>
      <x:c r="J101" s="5"/>
    </x:row>
    <x:row r="102">
      <x:c r="I102" s="5"/>
      <x:c r="J102" s="5"/>
    </x:row>
    <x:row r="103">
      <x:c r="I103" s="5"/>
      <x:c r="J103" s="5"/>
    </x:row>
    <x:row r="104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</x:row>
    <x:row r="105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</x:row>
    <x:row r="106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</x:row>
    <x:row r="107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</x:row>
    <x:row r="108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</x:row>
    <x:row r="109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</x:row>
    <x:row r="110">
      <x:c r="A110" s="5"/>
      <x:c r="B110" s="5"/>
      <x:c r="C110" s="5"/>
      <x:c r="D110" s="5"/>
      <x:c r="E110" s="5"/>
      <x:c r="F110" s="5"/>
      <x:c r="G110" s="5"/>
      <x:c r="H110" s="5"/>
      <x:c r="I110" s="5"/>
      <x:c r="J110" s="5"/>
    </x:row>
  </x:sheetData>
  <x:mergeCells>
    <x:mergeCell ref="A1:H1"/>
  </x:mergeCells>
  <x:conditionalFormatting sqref="H4:H103">
    <x:cfRule type="expression" dxfId="3" priority="1">
      <x:formula>H4="Validado"</x:formula>
    </x:cfRule>
  </x:conditionalFormatting>
  <x:dataValidations count="2">
    <x:dataValidation type="list" sqref="B4:B103">
      <x:formula1>"Prueba,BD,Log,Interfaz,Diagrama,Exportación,Seguridad,Otro"</x:formula1>
    </x:dataValidation>
    <x:dataValidation type="list" sqref="H4:H103">
      <x:formula1>"Verificada,Código existente,Pendiente"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10" defaultColWidth="9" defaultRowHeight="14.25"/>
  <x:cols>
    <x:col min="1" max="1" width="24" customWidth="1"/>
    <x:col min="2" max="2" width="18" customWidth="1"/>
    <x:col min="3" max="3" width="22" customWidth="1"/>
    <x:col min="4" max="4" width="24" customWidth="1"/>
    <x:col min="5" max="6" width="26" customWidth="1"/>
    <x:col min="7" max="7" width="20" customWidth="1"/>
    <x:col min="8" max="8" width="28" customWidth="1"/>
    <x:col min="9" max="9" width="24" customWidth="1"/>
    <x:col min="10" max="10" width="14" customWidth="1"/>
  </x:cols>
  <x:sheetData>
    <x:row r="1" ht="20.25">
      <x:c r="A1" s="9" t="str">
        <x:v>TrazaLab · Transferencia del diseño al avance actual</x:v>
      </x:c>
      <x:c r="B1" s="9"/>
      <x:c r="C1" s="9"/>
      <x:c r="D1" s="9"/>
      <x:c r="E1" s="9"/>
      <x:c r="F1" s="9"/>
      <x:c r="G1" s="9"/>
      <x:c r="H1" s="9"/>
      <x:c r="I1" s="9"/>
      <x:c r="J1" s="9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ht="30">
      <x:c r="A3" s="1" t="str">
        <x:v>Flujo</x:v>
      </x:c>
      <x:c r="B3" s="1" t="str">
        <x:v>Requisito</x:v>
      </x:c>
      <x:c r="C3" s="1" t="str">
        <x:v>Pantalla / entrada actual</x:v>
      </x:c>
      <x:c r="D3" s="1" t="str">
        <x:v>Controlador</x:v>
      </x:c>
      <x:c r="E3" s="1" t="str">
        <x:v>Servicio</x:v>
      </x:c>
      <x:c r="F3" s="1" t="str">
        <x:v>Repositorio JPA / persistencia</x:v>
      </x:c>
      <x:c r="G3" s="1" t="str">
        <x:v>Tabla(s)</x:v>
      </x:c>
      <x:c r="H3" s="1" t="str">
        <x:v>Regla o prueba crítica</x:v>
      </x:c>
      <x:c r="I3" s="1" t="str">
        <x:v>Recurso / evidencia</x:v>
      </x:c>
      <x:c r="J3" s="1" t="str">
        <x:v>Estado</x:v>
      </x:c>
    </x:row>
    <x:row r="4" ht="64" customHeight="1">
      <x:c r="A4" s="26" t="str">
        <x:v>F-01 Registrar incidencia</x:v>
      </x:c>
      <x:c r="B4" s="26" t="str">
        <x:v>RF-05, RNF-02</x:v>
      </x:c>
      <x:c r="C4" s="26" t="str">
        <x:v>Consola actual; P04 gráfica diseñada</x:v>
      </x:c>
      <x:c r="D4" s="26" t="str">
        <x:v>IncidenciaController.registrar</x:v>
      </x:c>
      <x:c r="E4" s="26" t="str">
        <x:v>RegistroIncidenciaPersistenteServicio.registrar</x:v>
      </x:c>
      <x:c r="F4" s="26" t="str">
        <x:v>UsuarioJpaRepositorio; ComputadoraJpaRepositorio; IncidenciaJpaRepositorio</x:v>
      </x:c>
      <x:c r="G4" s="26" t="str">
        <x:v>usuario; computadora; incidencia</x:v>
      </x:c>
      <x:c r="H4" s="26" t="str">
        <x:v>Rol y estado del ID reportante, QR y descripción; 2 pruebas Testcontainers pasaron</x:v>
      </x:c>
      <x:c r="I4" s="26" t="str">
        <x:v>Spring Data JPA; Hibernate; Bean Validation; RegistroIncidenciaJpaTest</x:v>
      </x:c>
      <x:c r="J4" s="26" t="str">
        <x:v>Parcial</x:v>
      </x:c>
    </x:row>
    <x:row r="5" ht="64" customHeight="1">
      <x:c r="A5" s="26" t="str">
        <x:v>F-02 Identificar equipo por QR</x:v>
      </x:c>
      <x:c r="B5" s="26" t="str">
        <x:v>RF-02</x:v>
      </x:c>
      <x:c r="C5" s="26" t="str">
        <x:v>Código QR escrito en consola; escáner P02 pendiente</x:v>
      </x:c>
      <x:c r="D5" s="26" t="str">
        <x:v>IncidenciaController.consultarHistorialComputadora</x:v>
      </x:c>
      <x:c r="E5" s="26" t="str">
        <x:v>RegistroIncidenciaPersistenteServicio.consultarHistorialComputadora</x:v>
      </x:c>
      <x:c r="F5" s="26" t="str">
        <x:v>ComputadoraJpaRepositorio.findByCodigoQrIgnoreCase</x:v>
      </x:c>
      <x:c r="G5" s="26" t="str">
        <x:v>computadora</x:v>
      </x:c>
      <x:c r="H5" s="26" t="str">
        <x:v>QR inexistente genera error controlado; sin prueba automatizada específica</x:v>
      </x:c>
      <x:c r="I5" s="26" t="str">
        <x:v>ConsolaPersistencia; ComputadoraJpaRepositorio</x:v>
      </x:c>
      <x:c r="J5" s="26" t="str">
        <x:v>Parcial</x:v>
      </x:c>
    </x:row>
    <x:row r="6" ht="64" customHeight="1">
      <x:c r="A6" s="26" t="str">
        <x:v>F-03 Consultar historial técnico</x:v>
      </x:c>
      <x:c r="B6" s="26" t="str">
        <x:v>RF-01</x:v>
      </x:c>
      <x:c r="C6" s="26" t="str">
        <x:v>Consola actual; P03 gráfica diseñada</x:v>
      </x:c>
      <x:c r="D6" s="26" t="str">
        <x:v>IncidenciaController.consultarHistorialComputadora</x:v>
      </x:c>
      <x:c r="E6" s="26" t="str">
        <x:v>RegistroIncidenciaPersistenteServicio.consultarHistorialComputadora</x:v>
      </x:c>
      <x:c r="F6" s="26" t="str">
        <x:v>IncidenciaJpaRepositorio.findAllByComputadora_IdOrderByFechaRegistroAsc</x:v>
      </x:c>
      <x:c r="G6" s="26" t="str">
        <x:v>computadora; incidencia; usuario</x:v>
      </x:c>
      <x:c r="H6" s="26" t="str">
        <x:v>Incidencias del equipo en orden ascendente; sin mantenimientos/componentes</x:v>
      </x:c>
      <x:c r="I6" s="26" t="str">
        <x:v>HistorialComputadoraDto; IncidenciaJpaRepositorio</x:v>
      </x:c>
      <x:c r="J6" s="26" t="str">
        <x:v>Parcial</x:v>
      </x:c>
    </x:row>
    <x:row r="7" ht="64" customHeight="1">
      <x:c r="A7" s="26" t="str">
        <x:v>F-04 Clasificar falla</x:v>
      </x:c>
      <x:c r="B7" s="26" t="str">
        <x:v>RNF-01, RF-06</x:v>
      </x:c>
      <x:c r="C7" s="26" t="str">
        <x:v>P03/P05 diseñadas</x:v>
      </x:c>
      <x:c r="D7" s="26" t="str">
        <x:v>Sin FallaController</x:v>
      </x:c>
      <x:c r="E7" s="26" t="str">
        <x:v>Sin FallaService</x:v>
      </x:c>
      <x:c r="F7" s="26" t="str">
        <x:v>Sin FallaJpaRepositorio</x:v>
      </x:c>
      <x:c r="G7" s="26" t="str">
        <x:v>incidencia; falla; tipo_falla; categoria_falla</x:v>
      </x:c>
      <x:c r="H7" s="26" t="str">
        <x:v>Catálogo y restricciones SQL; sin flujo Java</x:v>
      </x:c>
      <x:c r="I7" s="26" t="str">
        <x:v>database/01_trazalab_schema.sql</x:v>
      </x:c>
      <x:c r="J7" s="26" t="str">
        <x:v>Diseñado</x:v>
      </x:c>
    </x:row>
    <x:row r="8" ht="64" customHeight="1">
      <x:c r="A8" s="26" t="str">
        <x:v>F-05 Registrar mantenimiento</x:v>
      </x:c>
      <x:c r="B8" s="26" t="str">
        <x:v>RF-03, RNF-02, RNF-03</x:v>
      </x:c>
      <x:c r="C8" s="26" t="str">
        <x:v>P05 diseñada</x:v>
      </x:c>
      <x:c r="D8" s="26" t="str">
        <x:v>Sin MantenimientoController</x:v>
      </x:c>
      <x:c r="E8" s="26" t="str">
        <x:v>Sin MantenimientoService</x:v>
      </x:c>
      <x:c r="F8" s="26" t="str">
        <x:v>Sin MantenimientoJpaRepositorio</x:v>
      </x:c>
      <x:c r="G8" s="26" t="str">
        <x:v>mantenimiento; mantenimiento_componente; computadora_componente</x:v>
      </x:c>
      <x:c r="H8" s="26" t="str">
        <x:v>Correctivo y vínculo con equipo diseñados; sin implementación Java</x:v>
      </x:c>
      <x:c r="I8" s="26" t="str">
        <x:v>database/01_trazalab_schema.sql</x:v>
      </x:c>
      <x:c r="J8" s="26" t="str">
        <x:v>Diseñado</x:v>
      </x:c>
    </x:row>
    <x:row r="9" ht="64" customHeight="1">
      <x:c r="A9" s="26" t="str">
        <x:v>F-06 Actualizar disponibilidad</x:v>
      </x:c>
      <x:c r="B9" s="26" t="str">
        <x:v>RF-04, RF-01, RE-01</x:v>
      </x:c>
      <x:c r="C9" s="26" t="str">
        <x:v>P01 diseñada; no existe opción en el menú</x:v>
      </x:c>
      <x:c r="D9" s="26" t="str">
        <x:v>Sin controlador de disponibilidad</x:v>
      </x:c>
      <x:c r="E9" s="26" t="str">
        <x:v>Sin servicio de estado</x:v>
      </x:c>
      <x:c r="F9" s="26" t="str">
        <x:v>ComputadoraJpaRepositorio no actualiza estado</x:v>
      </x:c>
      <x:c r="G9" s="26" t="str">
        <x:v>computadora; ubicacion</x:v>
      </x:c>
      <x:c r="H9" s="26" t="str">
        <x:v>Estados permitidos en SQL; consulta y cambio funcional pendientes</x:v>
      </x:c>
      <x:c r="I9" s="26" t="str">
        <x:v>database/01_trazalab_schema.sql</x:v>
      </x:c>
      <x:c r="J9" s="26" t="str">
        <x:v>Diseñado</x:v>
      </x:c>
    </x:row>
    <x:row r="10" ht="64" customHeight="1">
      <x:c r="A10" s="26" t="str">
        <x:v>F-07 Consultar recurrencias</x:v>
      </x:c>
      <x:c r="B10" s="26" t="str">
        <x:v>RF-06, RF-04, RF-01</x:v>
      </x:c>
      <x:c r="C10" s="26" t="str">
        <x:v>P06 diseñada; exportación actual solo de incidencias</x:v>
      </x:c>
      <x:c r="D10" s="26" t="str">
        <x:v>Sin ReporteController</x:v>
      </x:c>
      <x:c r="E10" s="26" t="str">
        <x:v>Sin ReporteService</x:v>
      </x:c>
      <x:c r="F10" s="26" t="str">
        <x:v>Sin repositorio JPA de recurrencias</x:v>
      </x:c>
      <x:c r="G10" s="26" t="str">
        <x:v>vw_fallas_recurrentes; vw_historial_tecnico</x:v>
      </x:c>
      <x:c r="H10" s="26" t="str">
        <x:v>Criterio de recurrencia del piloto pendiente de validar</x:v>
      </x:c>
      <x:c r="I10" s="26" t="str">
        <x:v>database/01_trazalab_schema.sql</x:v>
      </x:c>
      <x:c r="J10" s="26" t="str">
        <x:v>Diseñado</x:v>
      </x:c>
    </x:row>
    <x:row r="11" ht="64" customHeight="1">
      <x:c r="A11" s="26" t="str">
        <x:v>F-08 Aplicar autorización</x:v>
      </x:c>
      <x:c r="B11" s="26" t="str">
        <x:v>RNF-02</x:v>
      </x:c>
      <x:c r="C11" s="26" t="str">
        <x:v>Consola solicita ID; login pendiente</x:v>
      </x:c>
      <x:c r="D11" s="26" t="str">
        <x:v>IncidenciaController.registrar</x:v>
      </x:c>
      <x:c r="E11" s="26" t="str">
        <x:v>RegistroIncidenciaPersistenteServicio.rolPuedeReportar</x:v>
      </x:c>
      <x:c r="F11" s="26" t="str">
        <x:v>UsuarioJpaRepositorio; relación UsuarioEntidad.rol</x:v>
      </x:c>
      <x:c r="G11" s="26" t="str">
        <x:v>usuario; rol; permiso; rol_permiso</x:v>
      </x:c>
      <x:c r="H11" s="26" t="str">
        <x:v>Comprueba rol y estado del reportante, pero no autentica al operador</x:v>
      </x:c>
      <x:c r="I11" s="26" t="str">
        <x:v>pom.xml incluye Spring Security; sin configuración</x:v>
      </x:c>
      <x:c r="J11" s="26" t="str">
        <x:v>Parcial</x:v>
      </x:c>
    </x:row>
    <x:row r="106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</x:row>
    <x:row r="107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</x:row>
    <x:row r="108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</x:row>
    <x:row r="109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</x:row>
    <x:row r="110">
      <x:c r="A110" s="5"/>
      <x:c r="B110" s="5"/>
      <x:c r="C110" s="5"/>
      <x:c r="D110" s="5"/>
      <x:c r="E110" s="5"/>
      <x:c r="F110" s="5"/>
      <x:c r="G110" s="5"/>
      <x:c r="H110" s="5"/>
      <x:c r="I110" s="5"/>
      <x:c r="J110" s="5"/>
    </x:row>
  </x:sheetData>
  <x:mergeCells>
    <x:mergeCell ref="A1:J1"/>
  </x:mergeCells>
  <x:conditionalFormatting sqref="J4:J103">
    <x:cfRule type="expression" dxfId="2" priority="1">
      <x:formula>J4="Verde"</x:formula>
    </x:cfRule>
    <x:cfRule type="expression" dxfId="1" priority="2">
      <x:formula>J4="Amarillo"</x:formula>
    </x:cfRule>
    <x:cfRule type="expression" dxfId="0" priority="3">
      <x:formula>J4="Rojo"</x:formula>
    </x:cfRule>
  </x:conditionalFormatting>
  <x:dataValidations count="1">
    <x:dataValidation type="list" sqref="J4:J103">
      <x:formula1>"Implementado,Parcial,Diseñado"</x:formula1>
    </x:dataValidation>
  </x:dataValidations>
  <x:pageMargins left="0.7" right="0.7" top="0.75" bottom="0.75" header="0.3" footer="0.3"/>
</x:worksheet>
</file>