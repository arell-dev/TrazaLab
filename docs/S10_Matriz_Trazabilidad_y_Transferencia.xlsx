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rel\Documents\Universidad\Curso Integrador - Sistemas Software\ProyectoFinal\APF03\"/>
    </mc:Choice>
  </mc:AlternateContent>
  <xr:revisionPtr revIDLastSave="0" documentId="8_{735A22DD-1309-4061-BD22-FD134A6BE86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sumen" sheetId="1" r:id="rId1"/>
    <sheet name="Trazabilidad" sheetId="2" r:id="rId2"/>
    <sheet name="SOLID" sheetId="3" r:id="rId3"/>
    <sheet name="TDD" sheetId="4" r:id="rId4"/>
    <sheet name="Evidencias" sheetId="5" r:id="rId5"/>
    <sheet name="Transferencia_PI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9" i="1" s="1"/>
  <c r="B7" i="1"/>
  <c r="B6" i="1"/>
  <c r="B5" i="1"/>
  <c r="B4" i="1"/>
</calcChain>
</file>

<file path=xl/sharedStrings.xml><?xml version="1.0" encoding="utf-8"?>
<sst xmlns="http://schemas.openxmlformats.org/spreadsheetml/2006/main" count="417" uniqueCount="344">
  <si>
    <t>CitaLab · Matriz de trazabilidad y transferencia</t>
  </si>
  <si>
    <t>Indicador</t>
  </si>
  <si>
    <t>Valor</t>
  </si>
  <si>
    <t>Cadena de trabajo</t>
  </si>
  <si>
    <t>Flujos trazados</t>
  </si>
  <si>
    <t>Requisito → pantalla → Controller → Service → Repository/JPA → PostgreSQL → prueba → evidencia</t>
  </si>
  <si>
    <t>Pruebas diseñadas</t>
  </si>
  <si>
    <t>Evidencias de ejecución pendientes</t>
  </si>
  <si>
    <t>Criterios SOLID revisados</t>
  </si>
  <si>
    <t>Estado</t>
  </si>
  <si>
    <t>Detalle</t>
  </si>
  <si>
    <t>Acción</t>
  </si>
  <si>
    <t>Flujos en Verde</t>
  </si>
  <si>
    <t>Verde</t>
  </si>
  <si>
    <t>Traza completa; listo para ejecutar</t>
  </si>
  <si>
    <t>Iniciar desarrollo y TDD</t>
  </si>
  <si>
    <t>Proporción de flujos en Verde</t>
  </si>
  <si>
    <t>Amarillo</t>
  </si>
  <si>
    <t>Flujo pendiente de construir o definir</t>
  </si>
  <si>
    <t>Completar diseño</t>
  </si>
  <si>
    <t>Rojo</t>
  </si>
  <si>
    <t>Cadena incompleta o incoherente</t>
  </si>
  <si>
    <t>Resolver vínculos</t>
  </si>
  <si>
    <t>Trazabilidad de CitaLab · Spring Boot y JPA</t>
  </si>
  <si>
    <t>ID</t>
  </si>
  <si>
    <t>Requisito</t>
  </si>
  <si>
    <t>Comportamiento</t>
  </si>
  <si>
    <t>Controller / endpoint</t>
  </si>
  <si>
    <t>Service / regla</t>
  </si>
  <si>
    <t>Repository / componente</t>
  </si>
  <si>
    <t>Tabla / vista PostgreSQL</t>
  </si>
  <si>
    <t>Prueba / evidencia</t>
  </si>
  <si>
    <t>Dependencias Java</t>
  </si>
  <si>
    <t>TR-01</t>
  </si>
  <si>
    <t>RF-05, RNF-02</t>
  </si>
  <si>
    <t>P04: registrar incidencia asociada a una computadora.</t>
  </si>
  <si>
    <t>IncidenciaController.registrar(request)</t>
  </si>
  <si>
    <t>IncidenciaService.registrar(request): validar usuario, permiso, equipo y datos obligatorios.</t>
  </si>
  <si>
    <t>IncidenciaRepository.save(); consultar UsuarioRepository y ComputadoraRepository.</t>
  </si>
  <si>
    <t>incidencia; usuario; computadora</t>
  </si>
  <si>
    <t>PI-T01 a PI-T04 y PI-T11 diseñadas; EV-01 a EV-05 pendientes de ejecución/captura.</t>
  </si>
  <si>
    <t>Spring Boot Web; Spring Data JPA; Bean Validation; Spring Security; JUnit 5; Mockito.</t>
  </si>
  <si>
    <t>TR-02</t>
  </si>
  <si>
    <t>RF-02, RNF-02</t>
  </si>
  <si>
    <t>P02: identificar el equipo mediante su QR.</t>
  </si>
  <si>
    <t>ComputadoraController.buscarPorQr(codigo)</t>
  </si>
  <si>
    <t>ComputadoraService.buscarPorQr(codigo): resolver solo el registro asociado al código.</t>
  </si>
  <si>
    <t>ComputadoraRepository.findByCodigoQr(codigo).</t>
  </si>
  <si>
    <t>computadora</t>
  </si>
  <si>
    <t>PI-T05 y PI-T06 diseñadas; validar QR existente y no registrado.</t>
  </si>
  <si>
    <t>Spring Boot Web; Spring Data JPA; Spring Security; JUnit 5; Mockito.</t>
  </si>
  <si>
    <t>TR-03</t>
  </si>
  <si>
    <t>RF-01, RNF-02, RNF-03</t>
  </si>
  <si>
    <t>P03: consultar la ficha e historial técnico del equipo.</t>
  </si>
  <si>
    <t>ComputadoraController.historial(computadoraId)</t>
  </si>
  <si>
    <t>HistorialService.consultar(computadoraId): filtrar por equipo y ordenar por fecha.</t>
  </si>
  <si>
    <t>HistorialRepository con consultas JPA y lectura de vistas PostgreSQL.</t>
  </si>
  <si>
    <t>vw_historial_tecnico; vw_componentes_por_mantenimiento</t>
  </si>
  <si>
    <t>PI-T07 diseñada; comprobar filtro por equipo, cronología, responsable y detalle.</t>
  </si>
  <si>
    <t>Spring Data JPA; proyecciones; consultas PostgreSQL; JUnit 5; Mockito.</t>
  </si>
  <si>
    <t>TR-04</t>
  </si>
  <si>
    <t>RNF-01, RF-06</t>
  </si>
  <si>
    <t>P03/P05: clasificar la falla con el catálogo estandarizado.</t>
  </si>
  <si>
    <t>FallaController.registrar(request)</t>
  </si>
  <si>
    <t>FallaService.registrar(request): comprobar el tipo y obtener su categoría asociada.</t>
  </si>
  <si>
    <t>FallaRepository; TipoFallaRepository; CategoriaFallaRepository.</t>
  </si>
  <si>
    <t>incidencia; falla; tipo_falla; categoria_falla</t>
  </si>
  <si>
    <t>PI-T08 diseñada; rechazar tipo inexistente y conservar la integridad del catálogo.</t>
  </si>
  <si>
    <t>Spring Data JPA; Bean Validation; JUnit 5; Mockito.</t>
  </si>
  <si>
    <t>TR-05</t>
  </si>
  <si>
    <t>RF-03, RNF-02, RNF-03</t>
  </si>
  <si>
    <t>P05: registrar mantenimiento preventivo o correctivo y componentes intervenidos.</t>
  </si>
  <si>
    <t>MantenimientoController.registrar(request)</t>
  </si>
  <si>
    <t>MantenimientoService.registrar(request) @Transactional: validar técnico, equipo y vínculo de falla.</t>
  </si>
  <si>
    <t>MantenimientoRepository; UsuarioRepository; ComputadoraRepository; FallaRepository; repositorios de componentes.</t>
  </si>
  <si>
    <t>mantenimiento; mantenimiento_componente; computadora_componente; usuario; computadora; falla</t>
  </si>
  <si>
    <t>PI-T09 diseñada; verificar reglas preventivas/correctivas y atomicidad de cabecera/detalle.</t>
  </si>
  <si>
    <t>Spring Data JPA; transacciones; JUnit 5; Mockito; PostgreSQL.</t>
  </si>
  <si>
    <t>TR-06</t>
  </si>
  <si>
    <t>RF-04, RF-01, RNF-03, RE-01</t>
  </si>
  <si>
    <t>P01/P03: consultar y actualizar disponibilidad dentro del piloto de 15 a 20 equipos.</t>
  </si>
  <si>
    <t>ComputadoraController.actualizarEstado(id, estado)</t>
  </si>
  <si>
    <t>ComputadoraService.actualizarEstado(id, estado): aceptar solo estados definidos y conservar historial.</t>
  </si>
  <si>
    <t>ComputadoraRepository; MantenimientoRepository.</t>
  </si>
  <si>
    <t>computadora; ubicacion; mantenimiento</t>
  </si>
  <si>
    <t>PI-T10 diseñada; verificar catálogo de estados y responsable/fecha de intervención.</t>
  </si>
  <si>
    <t>Spring Boot Web; Spring Data JPA; Bean Validation; JUnit 5; Mockito.</t>
  </si>
  <si>
    <t>TR-07</t>
  </si>
  <si>
    <t>RF-06, RF-04, RF-01</t>
  </si>
  <si>
    <t>P06: consultar disponibilidad, historial y fallas recurrentes.</t>
  </si>
  <si>
    <t>ReporteController.consultar(filtros)</t>
  </si>
  <si>
    <t>ReporteService.consultar(filtros): aplicar período y criterio de recurrencia por validar en el piloto.</t>
  </si>
  <si>
    <t>ReporteRepository con consultas JPA y vistas PostgreSQL.</t>
  </si>
  <si>
    <t>vw_fallas_recurrentes; vw_historial_tecnico</t>
  </si>
  <si>
    <t>PI-T12 diseñada; el umbral se definirá y probará durante la validación del piloto.</t>
  </si>
  <si>
    <t>Spring Data JPA; consultas PostgreSQL; JUnit 5; Spring Boot Test.</t>
  </si>
  <si>
    <t>TR-08</t>
  </si>
  <si>
    <t>RNF-02</t>
  </si>
  <si>
    <t>P01-P06: proteger operaciones según permisos de cada rol.</t>
  </si>
  <si>
    <t>Spring Security en endpoints restringidos.</t>
  </si>
  <si>
    <t>Validar autorización en el servidor antes de ejecutar la operación protegida.</t>
  </si>
  <si>
    <t>UsuarioRepository; RolRepository; PermisoRepository; RolPermisoRepository.</t>
  </si>
  <si>
    <t>usuario; rol; permiso; rol_permiso</t>
  </si>
  <si>
    <t>PI-T03 diseñada; probar acceso permitido y denegado por rol.</t>
  </si>
  <si>
    <t>Spring Security; Spring Security Test; JUnit 5; Mockito.</t>
  </si>
  <si>
    <t>SOLID aplicado a CitaLab · Spring Boot y JPA</t>
  </si>
  <si>
    <t>Principio</t>
  </si>
  <si>
    <t>Pregunta de revisión</t>
  </si>
  <si>
    <t>Evidencia en el diseño</t>
  </si>
  <si>
    <t>Riesgo si falla</t>
  </si>
  <si>
    <t>Estado de diseño</t>
  </si>
  <si>
    <t>Observación</t>
  </si>
  <si>
    <t>SRP</t>
  </si>
  <si>
    <t>¿Las capas de RF-05 tienen responsabilidades separadas?</t>
  </si>
  <si>
    <t>P04 entrega la solicitud a IncidenciaController; IncidenciaService valida usuario, permisos, equipo y reglas; IncidenciaRepository persiste las entidades. DTO y validación desacoplan el formulario.</t>
  </si>
  <si>
    <t>Cambios de pantalla pueden alterar reglas o acceso a datos; aumenta el costo de pruebas.</t>
  </si>
  <si>
    <t>Parcial</t>
  </si>
  <si>
    <t>Verificar en el módulo: Controller sin reglas de negocio, Service sin detalles HTTP y Repository sin lógica de negocio.</t>
  </si>
  <si>
    <t>OCP</t>
  </si>
  <si>
    <t>¿La regla de recurrencia de RF-06 puede ajustarse sin propagar cambios?</t>
  </si>
  <si>
    <t>ReporteService concentrará el criterio pendiente de validar en el piloto. La pantalla P06 y la consulta de datos permanecen separadas; categorías y tipos provienen de catálogos.</t>
  </si>
  <si>
    <t>Umbrales repetidos en pantalla, servicio y SQL producen reportes distintos.</t>
  </si>
  <si>
    <t>Definir el umbral durante el piloto y mantenerlo en un punto de decisión probado.</t>
  </si>
  <si>
    <t>LSP</t>
  </si>
  <si>
    <t>¿Los contratos permiten sustituir persistencia real por dobles de prueba?</t>
  </si>
  <si>
    <t>Los servicios usan interfaces Spring Data Repository. Mockito aísla pruebas unitarias; @DataJpaTest con PostgreSQL comprueba consultas e integridad.</t>
  </si>
  <si>
    <t>Los mocks pueden ocultar diferencias de consultas, restricciones o transacciones de PostgreSQL.</t>
  </si>
  <si>
    <t>Complementar pruebas unitarias con integración PostgreSQL y validar el mismo contrato.</t>
  </si>
  <si>
    <t>ISP</t>
  </si>
  <si>
    <t>¿Cada servicio depende solo de los repositorios que necesita?</t>
  </si>
  <si>
    <t>IncidenciaService usa repositorios de incidencia, usuario y computadora. HistorialService y ReporteService tienen contratos de consulta propios.</t>
  </si>
  <si>
    <t>Una interfaz genérica o un servicio único acumula métodos y dependencias no usadas.</t>
  </si>
  <si>
    <t>Mantener interfaces enfocadas por entidad y caso de uso; evitar repositorios y servicios omniscientes.</t>
  </si>
  <si>
    <t>DIP</t>
  </si>
  <si>
    <t>¿Las reglas dependen de abstracciones de persistencia?</t>
  </si>
  <si>
    <t>Spring inyecta por constructor IncidenciaRepository y otros contratos JPA. Las consultas específicas de PostgreSQL quedan detrás del repositorio.</t>
  </si>
  <si>
    <t>Acoplar servicios a EntityManager, SQL o conexiones dificulta pruebas y futuros cambios de persistencia.</t>
  </si>
  <si>
    <t>Mantener la lógica de negocio en servicios y usar Repository/consultas JPA como frontera con PostgreSQL.</t>
  </si>
  <si>
    <t>TDD · CitaLab</t>
  </si>
  <si>
    <t>Dado</t>
  </si>
  <si>
    <t>Cuando</t>
  </si>
  <si>
    <t>Entonces</t>
  </si>
  <si>
    <t>Unidad</t>
  </si>
  <si>
    <t>Dependencia a aislar</t>
  </si>
  <si>
    <t>Evidencia esperada</t>
  </si>
  <si>
    <t>PI-T01</t>
  </si>
  <si>
    <t>Registrar incidencia válida</t>
  </si>
  <si>
    <t>Usuario activo con permiso, computadora existente y datos obligatorios válidos.</t>
  </si>
  <si>
    <t>IncidenciaService.registrar(request)</t>
  </si>
  <si>
    <t>Guarda la incidencia vinculada al usuario y a la computadora.</t>
  </si>
  <si>
    <t>IncidenciaService</t>
  </si>
  <si>
    <t>IncidenciaRepository; UsuarioRepository; ComputadoraRepository (Mockito).</t>
  </si>
  <si>
    <t>Diseñada</t>
  </si>
  <si>
    <t>Resultado del servicio y verificación de las referencias enviadas a persistencia.</t>
  </si>
  <si>
    <t>PI-T02</t>
  </si>
  <si>
    <t>Rechazar usuario inactivo</t>
  </si>
  <si>
    <t>Usuario inactivo y solicitud con datos válidos.</t>
  </si>
  <si>
    <t>Rechaza el registro y no invoca IncidenciaRepository.save().</t>
  </si>
  <si>
    <t>UsuarioRepository e IncidenciaRepository (Mockito).</t>
  </si>
  <si>
    <t>Excepción/resultado controlado y verificación de que no se guardó.</t>
  </si>
  <si>
    <t>PI-T03</t>
  </si>
  <si>
    <t>Rechazar usuario sin permiso</t>
  </si>
  <si>
    <t>Usuario autenticado sin permiso para registrar incidencias.</t>
  </si>
  <si>
    <t>POST al endpoint de incidencias</t>
  </si>
  <si>
    <t>Devuelve acceso denegado y no ejecuta la operación protegida.</t>
  </si>
  <si>
    <t>Seguridad / Controller</t>
  </si>
  <si>
    <t>Spring Security Test; servicio simulado.</t>
  </si>
  <si>
    <t>Prueba de autorización para acceso permitido y denegado.</t>
  </si>
  <si>
    <t>PI-T04</t>
  </si>
  <si>
    <t>Validar datos obligatorios</t>
  </si>
  <si>
    <t>Descripción vacía o computadora ausente.</t>
  </si>
  <si>
    <t>Devuelve error de validación y no persiste la incidencia.</t>
  </si>
  <si>
    <t>Controller / Bean Validation</t>
  </si>
  <si>
    <t>MockMvc; IncidenciaService simulado.</t>
  </si>
  <si>
    <t>Respuesta de validación y verificación de que el servicio no guarda.</t>
  </si>
  <si>
    <t>PI-T05</t>
  </si>
  <si>
    <t>Encontrar computadora por QR</t>
  </si>
  <si>
    <t>Código QR asociado a una computadora registrada.</t>
  </si>
  <si>
    <t>ComputadoraService.buscarPorQr(codigo)</t>
  </si>
  <si>
    <t>Devuelve únicamente la computadora correspondiente al QR.</t>
  </si>
  <si>
    <t>ComputadoraService</t>
  </si>
  <si>
    <t>ComputadoraRepository (Mockito).</t>
  </si>
  <si>
    <t>Resultado asociado al equipo esperado.</t>
  </si>
  <si>
    <t>PI-T06</t>
  </si>
  <si>
    <t>Controlar QR inexistente</t>
  </si>
  <si>
    <t>Código QR no registrado.</t>
  </si>
  <si>
    <t>Devuelve resultado de no encontrado sin exponer otro equipo.</t>
  </si>
  <si>
    <t>Resultado controlado para QR desconocido.</t>
  </si>
  <si>
    <t>PI-T07</t>
  </si>
  <si>
    <t>Consultar historial de un equipo</t>
  </si>
  <si>
    <t>Equipo con incidencias y mantenimientos de distintas fechas.</t>
  </si>
  <si>
    <t>HistorialService.consultar(computadoraId)</t>
  </si>
  <si>
    <t>Devuelve solo el historial del equipo y lo ordena cronológicamente.</t>
  </si>
  <si>
    <t>HistorialService</t>
  </si>
  <si>
    <t>HistorialRepository (Mockito).</t>
  </si>
  <si>
    <t>Verificación del filtro por equipo y orden de fechas.</t>
  </si>
  <si>
    <t>PI-T08</t>
  </si>
  <si>
    <t>Rechazar tipo de falla inexistente</t>
  </si>
  <si>
    <t>Solicitud con tipo de falla que no pertenece al catálogo.</t>
  </si>
  <si>
    <t>FallaService.registrar(request)</t>
  </si>
  <si>
    <t>Rechaza el registro y no persiste una falla inválida.</t>
  </si>
  <si>
    <t>FallaService</t>
  </si>
  <si>
    <t>TipoFallaRepository; FallaRepository (Mockito).</t>
  </si>
  <si>
    <t>Regla de catálogo e integridad referencial.</t>
  </si>
  <si>
    <t>PI-T09</t>
  </si>
  <si>
    <t>Mantener consistencia del mantenimiento</t>
  </si>
  <si>
    <t>Usuario sin rol técnico o falla asociada a otra computadora.</t>
  </si>
  <si>
    <t>MantenimientoService.registrar(request)</t>
  </si>
  <si>
    <t>Rechaza la operación y no deja cabecera ni detalle parcial.</t>
  </si>
  <si>
    <t>MantenimientoService</t>
  </si>
  <si>
    <t>UsuarioRepository; FallaRepository; MantenimientoRepository (Mockito).</t>
  </si>
  <si>
    <t>Regla de autorización/vínculo y atomicidad transaccional.</t>
  </si>
  <si>
    <t>PI-T10</t>
  </si>
  <si>
    <t>Rechazar estado de equipo no permitido</t>
  </si>
  <si>
    <t>Computadora existente y estado fuera del catálogo operativo.</t>
  </si>
  <si>
    <t>ComputadoraService.actualizarEstado(id, estado)</t>
  </si>
  <si>
    <t>Rechaza el cambio y conserva el estado anterior.</t>
  </si>
  <si>
    <t>Prueba de estados permitidos y conservación del estado.</t>
  </si>
  <si>
    <t>PI-T11</t>
  </si>
  <si>
    <t>Persistir incidencia y relaciones en PostgreSQL</t>
  </si>
  <si>
    <t>Usuario y computadora válidos guardados en la base de datos de prueba.</t>
  </si>
  <si>
    <t>IncidenciaRepository.save() y findById()</t>
  </si>
  <si>
    <t>Recupera la incidencia vinculada al usuario y a la computadora.</t>
  </si>
  <si>
    <t>IncidenciaRepository</t>
  </si>
  <si>
    <t>@DataJpaTest con PostgreSQL de prueba.</t>
  </si>
  <si>
    <t>Resultado de integración e integridad referencial.</t>
  </si>
  <si>
    <t>PI-T12</t>
  </si>
  <si>
    <t>Identificar fallas recurrentes con el criterio acordado</t>
  </si>
  <si>
    <t>Incidencias y fallas del equipo dentro del período configurado.</t>
  </si>
  <si>
    <t>ReporteService.consultar(filtros)</t>
  </si>
  <si>
    <t>Prioriza el equipo solo cuando alcanza el criterio de recurrencia definido para el piloto.</t>
  </si>
  <si>
    <t>ReporteService</t>
  </si>
  <si>
    <t>ReporteRepository (Mockito); prueba de integración de consulta si aplica.</t>
  </si>
  <si>
    <t>Resultados en ambos lados del umbral aprobado.</t>
  </si>
  <si>
    <t>Evidencias de CitaLab</t>
  </si>
  <si>
    <t>Tipo</t>
  </si>
  <si>
    <t>Descripción</t>
  </si>
  <si>
    <t>Archivo / ubicación</t>
  </si>
  <si>
    <t>Qué demuestra</t>
  </si>
  <si>
    <t>Relacionado con</t>
  </si>
  <si>
    <t>Responsable</t>
  </si>
  <si>
    <t>EV-01</t>
  </si>
  <si>
    <t>Prueba</t>
  </si>
  <si>
    <t>Prueba unitaria de registro válido: usuario activo/autorizado y computadora existente.</t>
  </si>
  <si>
    <t>Pendiente: módulo Spring Boot</t>
  </si>
  <si>
    <t>Demuestra que el servicio guarda la incidencia con sus referencias correctas.</t>
  </si>
  <si>
    <t>RF-05 / PI-T01</t>
  </si>
  <si>
    <t>Equipo</t>
  </si>
  <si>
    <t>Pendiente</t>
  </si>
  <si>
    <t>EV-02</t>
  </si>
  <si>
    <t>Pruebas de rechazo por usuario inactivo, permiso ausente y datos obligatorios.</t>
  </si>
  <si>
    <t>Demuestra que una solicitud inválida no llega a persistencia.</t>
  </si>
  <si>
    <t>RF-05 / PI-T02 a PI-T04</t>
  </si>
  <si>
    <t>EV-03</t>
  </si>
  <si>
    <t>BD</t>
  </si>
  <si>
    <t>Registro de incidencia relacionado con usuario y computadora en PostgreSQL.</t>
  </si>
  <si>
    <t>Pendiente: entorno PostgreSQL</t>
  </si>
  <si>
    <t>Demuestra la persistencia y las claves foráneas del flujo.</t>
  </si>
  <si>
    <t>RF-05 / PI-T11</t>
  </si>
  <si>
    <t>EV-04</t>
  </si>
  <si>
    <t>Log</t>
  </si>
  <si>
    <t>Evento de registro sin contraseñas ni datos sensibles en el mensaje.</t>
  </si>
  <si>
    <t>Pendiente: ejecución del flujo</t>
  </si>
  <si>
    <t>Demuestra diagnóstico de la operación.</t>
  </si>
  <si>
    <t>RF-05 / RNF-02</t>
  </si>
  <si>
    <t>EV-05</t>
  </si>
  <si>
    <t>Captura</t>
  </si>
  <si>
    <t>Formulario P04 con confirmación de éxito y respuesta de validación.</t>
  </si>
  <si>
    <t>Pendiente: interfaz ejecutable</t>
  </si>
  <si>
    <t>Demuestra el resultado visible al usuario.</t>
  </si>
  <si>
    <t>RF-05 / P04</t>
  </si>
  <si>
    <t>EV-06</t>
  </si>
  <si>
    <t>Diagrama</t>
  </si>
  <si>
    <t>Diagrama draw.io del flujo Controller-Service-Repository-JPA-PostgreSQL.</t>
  </si>
  <si>
    <t>Pendiente: actividad posterior</t>
  </si>
  <si>
    <t>Explica visualmente la arquitectura del flujo principal.</t>
  </si>
  <si>
    <t>RF-05</t>
  </si>
  <si>
    <t>Trazabilidad y transferencia de CitaLab</t>
  </si>
  <si>
    <t>Flujo</t>
  </si>
  <si>
    <t>Pantalla / entrada</t>
  </si>
  <si>
    <t>Controller</t>
  </si>
  <si>
    <t>Service</t>
  </si>
  <si>
    <t>Repository JPA / persistencia</t>
  </si>
  <si>
    <t>Tabla(s)</t>
  </si>
  <si>
    <t>Prueba crítica</t>
  </si>
  <si>
    <t>Recurso Java / log</t>
  </si>
  <si>
    <t>F-01 Registrar incidencia</t>
  </si>
  <si>
    <t>P04 Registrar incidencia</t>
  </si>
  <si>
    <t>IncidenciaController.registrar()</t>
  </si>
  <si>
    <t>IncidenciaService.registrar()</t>
  </si>
  <si>
    <t>IncidenciaRepository + UsuarioRepository + ComputadoraRepository (JPA)</t>
  </si>
  <si>
    <t>Usuario activo y autorizado; equipo y descripción obligatorios. Guardar incidencia con sus referencias. Rechazar datos inválidos sin persistir.</t>
  </si>
  <si>
    <t>Spring Boot MVC; JPA; Bean Validation; JUnit/Mockito; @DataJpaTest con PostgreSQL; Logback</t>
  </si>
  <si>
    <t>F-02 Identificar equipo por QR</t>
  </si>
  <si>
    <t>P02 Escáner QR</t>
  </si>
  <si>
    <t>ComputadoraController.buscarPorQr()</t>
  </si>
  <si>
    <t>ComputadoraService.buscarPorQr()</t>
  </si>
  <si>
    <t>ComputadoraRepository.findByCodigoQr()</t>
  </si>
  <si>
    <t>El QR debe existir y ser único. Si no existe, devolver resultado controlado sin exponer otros equipos.</t>
  </si>
  <si>
    <t>Spring Data JPA; Spring Security; Bean Validation; Logback</t>
  </si>
  <si>
    <t>F-03 Consultar historial técnico</t>
  </si>
  <si>
    <t>P03 Ficha e historial</t>
  </si>
  <si>
    <t>ComputadoraController.historial()</t>
  </si>
  <si>
    <t>HistorialRepository (JPA y vistas PostgreSQL)</t>
  </si>
  <si>
    <t>vw_historial_tecnico (vista); vw_componentes_por_mantenimiento (vista)</t>
  </si>
  <si>
    <t>Mostrar solo datos del equipo consultado, ordenados por fecha, con responsable y detalle técnico.</t>
  </si>
  <si>
    <t>Spring Data JPA; proyecciones y consultas PostgreSQL; Logback</t>
  </si>
  <si>
    <t>F-04 Clasificar falla</t>
  </si>
  <si>
    <t>P03 Historial / P05 Intervención</t>
  </si>
  <si>
    <t>FallaController.registrar()</t>
  </si>
  <si>
    <t>FallaService.registrar()</t>
  </si>
  <si>
    <t>FallaRepository + TipoFallaRepository</t>
  </si>
  <si>
    <t>Rechazar tipos inexistentes. La categoría se obtiene del tipo de falla asociado al catálogo.</t>
  </si>
  <si>
    <t>Spring Data JPA; Bean Validation; JUnit/Mockito</t>
  </si>
  <si>
    <t>F-05 Registrar mantenimiento</t>
  </si>
  <si>
    <t>P05 Registrar mantenimiento</t>
  </si>
  <si>
    <t>MantenimientoController.registrar()</t>
  </si>
  <si>
    <t>MantenimientoService.registrar() @Transactional</t>
  </si>
  <si>
    <t>MantenimientoRepository; UsuarioRepository; ComputadoraRepository; FallaRepository; ComponenteRepository; repositorios de detalle</t>
  </si>
  <si>
    <t>mantenimiento; usuario; computadora; falla; mantenimiento_componente; computadora_componente</t>
  </si>
  <si>
    <t>Técnico activo y autorizado. Correctivo requiere falla del mismo equipo; preventivo admite falla nula. Guardar cabecera y componentes en una transacción.</t>
  </si>
  <si>
    <t>Spring Data JPA; transacciones; restricciones PostgreSQL; JUnit/Mockito</t>
  </si>
  <si>
    <t>F-06 Actualizar disponibilidad</t>
  </si>
  <si>
    <t>P01 Disponibilidad / P03 Historial; piloto de 15 a 20 equipos</t>
  </si>
  <si>
    <t>ComputadoraController.actualizarEstado()</t>
  </si>
  <si>
    <t>ComputadoraService.actualizarEstado()</t>
  </si>
  <si>
    <t>ComputadoraRepository + MantenimientoRepository</t>
  </si>
  <si>
    <t>Aceptar solo estados definidos y conservar el historial de intervenciones, responsable y fecha. Validar el piloto dentro del alcance acordado.</t>
  </si>
  <si>
    <t>Spring Data JPA; Bean Validation; Logback</t>
  </si>
  <si>
    <t>F-07 Consultar reportes y recurrencia</t>
  </si>
  <si>
    <t>P06 Reportes y seguimiento; R01-R04</t>
  </si>
  <si>
    <t>ReporteController.consultar()</t>
  </si>
  <si>
    <t>ReporteService.consultar()</t>
  </si>
  <si>
    <t>ReporteRepository (consultas JPA y vistas PostgreSQL)</t>
  </si>
  <si>
    <t>vw_fallas_recurrentes (vista); vw_historial_tecnico (vista)</t>
  </si>
  <si>
    <t>Consultar disponibilidad, historial e incidencias por período. El umbral de recurrencia requiere validación en el piloto.</t>
  </si>
  <si>
    <t>Spring Data JPA; consultas PostgreSQL; Apache POI para exportación XLSX</t>
  </si>
  <si>
    <t>F-08 Aplicar autorización por rol</t>
  </si>
  <si>
    <t>P01-P06; operaciones restringidas</t>
  </si>
  <si>
    <t>Spring Security en endpoints/controladores</t>
  </si>
  <si>
    <t>Autorización en servidor antes del servicio</t>
  </si>
  <si>
    <t>UsuarioRepository + RolRepository + PermisoRepository</t>
  </si>
  <si>
    <t>Comprobar el permiso en servidor en cada consulta o modificación protegida; rechazar intentos sin autorización.</t>
  </si>
  <si>
    <t>Spring Security; JUnit; Spring Security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</si>
</sst>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  <font>
      <i/>
      <sz val="10"/>
      <color rgb="FF7A4E00"/>
      <name val="Carlito"/>
    </font>
    <font>
      <b/>
      <sz val="14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B91C1C"/>
      </patternFill>
    </fill>
    <fill>
      <patternFill patternType="solid">
        <fgColor rgb="FF1F2937"/>
      </patternFill>
    </fill>
    <fill>
      <patternFill patternType="solid">
        <fgColor rgb="FFFFF7CC"/>
      </patternFill>
    </fill>
    <fill>
      <patternFill patternType="solid">
        <fgColor rgb="FFB51C1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vertical="top" wrapText="1"/>
    </xf>
    <xf numFmtId="9" fontId="3" fillId="0" borderId="0" xfId="0" applyNumberFormat="1" applyFont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0" borderId="0" xfId="0" applyAlignment="1">
      <alignment wrapText="1"/>
    </xf>
    <xf numFmtId="0" fontId="5" fillId="5" borderId="0" xfId="0" applyFont="1" applyFill="1" applyAlignment="1">
      <alignment wrapText="1"/>
    </xf>
    <xf numFmtId="0" fontId="4" fillId="4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7"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workbookViewId="0">
      <pane ySplit="3" topLeftCell="A4" activePane="bottomLeft" state="frozen"/>
      <selection pane="bottomLeft" sqref="A1:H1"/>
    </sheetView>
  </sheetViews>
  <sheetFormatPr baseColWidth="10" defaultColWidth="9" defaultRowHeight="14.25"/>
  <cols>
    <col min="1" max="1" width="31" customWidth="1"/>
    <col min="2" max="2" width="16" customWidth="1"/>
  </cols>
  <sheetData>
    <row r="1" spans="1:10" ht="20.25">
      <c r="A1" s="9" t="s">
        <v>0</v>
      </c>
      <c r="B1" s="9"/>
      <c r="C1" s="9"/>
      <c r="D1" s="9"/>
      <c r="E1" s="9"/>
      <c r="F1" s="9"/>
      <c r="G1" s="9"/>
      <c r="H1" s="9"/>
      <c r="I1" s="5"/>
      <c r="J1" s="5"/>
    </row>
    <row r="2" spans="1:10">
      <c r="A2" s="5"/>
      <c r="B2" s="5"/>
      <c r="C2" s="5"/>
      <c r="D2" s="5"/>
      <c r="E2" s="5"/>
      <c r="F2" s="5"/>
      <c r="G2" s="5"/>
      <c r="H2" s="5"/>
      <c r="I2" s="5"/>
      <c r="J2" s="5"/>
    </row>
    <row r="3" spans="1:10" ht="15">
      <c r="A3" s="1" t="s">
        <v>1</v>
      </c>
      <c r="B3" s="1" t="s">
        <v>2</v>
      </c>
      <c r="C3" s="5"/>
      <c r="D3" s="10" t="s">
        <v>3</v>
      </c>
      <c r="E3" s="10"/>
      <c r="F3" s="10"/>
      <c r="G3" s="10"/>
      <c r="H3" s="10"/>
      <c r="I3" s="5"/>
      <c r="J3" s="5"/>
    </row>
    <row r="4" spans="1:10">
      <c r="A4" s="2" t="s">
        <v>4</v>
      </c>
      <c r="B4" s="2">
        <f>COUNTA(Transferencia_PI!A4:A11)</f>
        <v>8</v>
      </c>
      <c r="C4" s="5"/>
      <c r="D4" s="11" t="s">
        <v>5</v>
      </c>
      <c r="E4" s="11"/>
      <c r="F4" s="11"/>
      <c r="G4" s="11"/>
      <c r="H4" s="11"/>
      <c r="I4" s="5"/>
      <c r="J4" s="5"/>
    </row>
    <row r="5" spans="1:10">
      <c r="A5" s="2" t="s">
        <v>6</v>
      </c>
      <c r="B5" s="2">
        <f>COUNTA(TDD!B4:B15)</f>
        <v>12</v>
      </c>
      <c r="C5" s="5"/>
      <c r="D5" s="11"/>
      <c r="E5" s="11"/>
      <c r="F5" s="11"/>
      <c r="G5" s="11"/>
      <c r="H5" s="11"/>
      <c r="I5" s="5"/>
      <c r="J5" s="5"/>
    </row>
    <row r="6" spans="1:10">
      <c r="A6" s="2" t="s">
        <v>7</v>
      </c>
      <c r="B6" s="2">
        <f>COUNTIF(Evidencias!H4:H9,"Pendiente")</f>
        <v>6</v>
      </c>
      <c r="C6" s="5"/>
      <c r="D6" s="5"/>
      <c r="E6" s="5"/>
      <c r="F6" s="5"/>
      <c r="G6" s="5"/>
      <c r="H6" s="5"/>
      <c r="I6" s="5"/>
      <c r="J6" s="5"/>
    </row>
    <row r="7" spans="1:10" ht="15">
      <c r="A7" s="2" t="s">
        <v>8</v>
      </c>
      <c r="B7" s="2">
        <f>COUNTA(SOLID!A4:A8)</f>
        <v>5</v>
      </c>
      <c r="C7" s="5"/>
      <c r="D7" s="1" t="s">
        <v>9</v>
      </c>
      <c r="E7" s="1" t="s">
        <v>10</v>
      </c>
      <c r="F7" s="1" t="s">
        <v>11</v>
      </c>
      <c r="G7" s="1"/>
      <c r="H7" s="1"/>
      <c r="I7" s="5"/>
      <c r="J7" s="5"/>
    </row>
    <row r="8" spans="1:10" ht="51">
      <c r="A8" s="2" t="s">
        <v>12</v>
      </c>
      <c r="B8" s="2">
        <f>COUNTIF(Transferencia_PI!J4:J11,"Verde")</f>
        <v>1</v>
      </c>
      <c r="C8" s="5"/>
      <c r="D8" s="2" t="s">
        <v>13</v>
      </c>
      <c r="E8" s="2" t="s">
        <v>14</v>
      </c>
      <c r="F8" s="2" t="s">
        <v>15</v>
      </c>
      <c r="G8" s="2"/>
      <c r="H8" s="2"/>
      <c r="I8" s="5"/>
      <c r="J8" s="5"/>
    </row>
    <row r="9" spans="1:10" ht="63.75">
      <c r="A9" s="2" t="s">
        <v>16</v>
      </c>
      <c r="B9" s="3">
        <f>IFERROR(B8/B4,0)</f>
        <v>0.125</v>
      </c>
      <c r="C9" s="5"/>
      <c r="D9" s="2" t="s">
        <v>17</v>
      </c>
      <c r="E9" s="2" t="s">
        <v>18</v>
      </c>
      <c r="F9" s="2" t="s">
        <v>19</v>
      </c>
      <c r="G9" s="2"/>
      <c r="H9" s="2"/>
      <c r="I9" s="5"/>
      <c r="J9" s="5"/>
    </row>
    <row r="10" spans="1:10" ht="63.75">
      <c r="A10" s="5"/>
      <c r="B10" s="5"/>
      <c r="C10" s="5"/>
      <c r="D10" s="2" t="s">
        <v>20</v>
      </c>
      <c r="E10" s="2" t="s">
        <v>21</v>
      </c>
      <c r="F10" s="2" t="s">
        <v>22</v>
      </c>
      <c r="G10" s="2"/>
      <c r="H10" s="2"/>
      <c r="I10" s="5"/>
      <c r="J10" s="5"/>
    </row>
    <row r="11" spans="1:10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>
      <c r="A21" s="5"/>
      <c r="B21" s="5"/>
      <c r="C21" s="5"/>
      <c r="D21" s="5"/>
      <c r="E21" s="5"/>
      <c r="F21" s="5"/>
      <c r="G21" s="5"/>
      <c r="H21" s="5"/>
      <c r="I21" s="5"/>
      <c r="J21" s="5"/>
    </row>
    <row r="22" spans="1:10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0">
      <c r="A23" s="5"/>
      <c r="B23" s="5"/>
      <c r="C23" s="5"/>
      <c r="D23" s="5"/>
      <c r="E23" s="5"/>
      <c r="F23" s="5"/>
      <c r="G23" s="5"/>
      <c r="H23" s="5"/>
      <c r="I23" s="5"/>
      <c r="J23" s="5"/>
    </row>
    <row r="24" spans="1:10">
      <c r="A24" s="5"/>
      <c r="B24" s="5"/>
      <c r="C24" s="5"/>
      <c r="D24" s="5"/>
      <c r="E24" s="5"/>
      <c r="F24" s="5"/>
      <c r="G24" s="5"/>
      <c r="H24" s="5"/>
      <c r="I24" s="5"/>
      <c r="J24" s="5"/>
    </row>
    <row r="25" spans="1:10">
      <c r="A25" s="5"/>
      <c r="B25" s="5"/>
      <c r="C25" s="5"/>
      <c r="D25" s="5"/>
      <c r="E25" s="5"/>
      <c r="F25" s="5"/>
      <c r="G25" s="5"/>
      <c r="H25" s="5"/>
      <c r="I25" s="5"/>
      <c r="J25" s="5"/>
    </row>
    <row r="26" spans="1:10">
      <c r="A26" s="5"/>
      <c r="B26" s="5"/>
      <c r="C26" s="5"/>
      <c r="D26" s="5"/>
      <c r="E26" s="5"/>
      <c r="F26" s="5"/>
      <c r="G26" s="5"/>
      <c r="H26" s="5"/>
      <c r="I26" s="5"/>
      <c r="J26" s="5"/>
    </row>
    <row r="27" spans="1:10">
      <c r="A27" s="5"/>
      <c r="B27" s="5"/>
      <c r="C27" s="5"/>
      <c r="D27" s="5"/>
      <c r="E27" s="5"/>
      <c r="F27" s="5"/>
      <c r="G27" s="5"/>
      <c r="H27" s="5"/>
      <c r="I27" s="5"/>
      <c r="J27" s="5"/>
    </row>
    <row r="28" spans="1:10">
      <c r="A28" s="5"/>
      <c r="B28" s="5"/>
      <c r="C28" s="5"/>
      <c r="D28" s="5"/>
      <c r="E28" s="5"/>
      <c r="F28" s="5"/>
      <c r="G28" s="5"/>
      <c r="H28" s="5"/>
      <c r="I28" s="5"/>
      <c r="J28" s="5"/>
    </row>
    <row r="29" spans="1:10">
      <c r="A29" s="5"/>
      <c r="B29" s="5"/>
      <c r="C29" s="5"/>
      <c r="D29" s="5"/>
      <c r="E29" s="5"/>
      <c r="F29" s="5"/>
      <c r="G29" s="5"/>
      <c r="H29" s="5"/>
      <c r="I29" s="5"/>
      <c r="J29" s="5"/>
    </row>
    <row r="30" spans="1:10">
      <c r="A30" s="5"/>
      <c r="B30" s="5"/>
      <c r="C30" s="5"/>
      <c r="D30" s="5"/>
      <c r="E30" s="5"/>
      <c r="F30" s="5"/>
      <c r="G30" s="5"/>
      <c r="H30" s="5"/>
      <c r="I30" s="5"/>
      <c r="J30" s="5"/>
    </row>
    <row r="31" spans="1:10">
      <c r="A31" s="5"/>
      <c r="B31" s="5"/>
      <c r="C31" s="5"/>
      <c r="D31" s="5"/>
      <c r="E31" s="5"/>
      <c r="F31" s="5"/>
      <c r="G31" s="5"/>
      <c r="H31" s="5"/>
      <c r="I31" s="5"/>
      <c r="J31" s="5"/>
    </row>
    <row r="32" spans="1:10">
      <c r="A32" s="5"/>
      <c r="B32" s="5"/>
      <c r="C32" s="5"/>
      <c r="D32" s="5"/>
      <c r="E32" s="5"/>
      <c r="F32" s="5"/>
      <c r="G32" s="5"/>
      <c r="H32" s="5"/>
      <c r="I32" s="5"/>
      <c r="J32" s="5"/>
    </row>
    <row r="33" spans="1:10">
      <c r="A33" s="5"/>
      <c r="B33" s="5"/>
      <c r="C33" s="5"/>
      <c r="D33" s="5"/>
      <c r="E33" s="5"/>
      <c r="F33" s="5"/>
      <c r="G33" s="5"/>
      <c r="H33" s="5"/>
      <c r="I33" s="5"/>
      <c r="J33" s="5"/>
    </row>
    <row r="34" spans="1:10">
      <c r="A34" s="5"/>
      <c r="B34" s="5"/>
      <c r="C34" s="5"/>
      <c r="D34" s="5"/>
      <c r="E34" s="5"/>
      <c r="F34" s="5"/>
      <c r="G34" s="5"/>
      <c r="H34" s="5"/>
      <c r="I34" s="5"/>
      <c r="J34" s="5"/>
    </row>
    <row r="35" spans="1:10">
      <c r="A35" s="5"/>
      <c r="B35" s="5"/>
      <c r="C35" s="5"/>
      <c r="D35" s="5"/>
      <c r="E35" s="5"/>
      <c r="F35" s="5"/>
      <c r="G35" s="5"/>
      <c r="H35" s="5"/>
      <c r="I35" s="5"/>
      <c r="J35" s="5"/>
    </row>
    <row r="36" spans="1:10">
      <c r="A36" s="5"/>
      <c r="B36" s="5"/>
      <c r="C36" s="5"/>
      <c r="D36" s="5"/>
      <c r="E36" s="5"/>
      <c r="F36" s="5"/>
      <c r="G36" s="5"/>
      <c r="H36" s="5"/>
      <c r="I36" s="5"/>
      <c r="J36" s="5"/>
    </row>
    <row r="37" spans="1:10">
      <c r="A37" s="5"/>
      <c r="B37" s="5"/>
      <c r="C37" s="5"/>
      <c r="D37" s="5"/>
      <c r="E37" s="5"/>
      <c r="F37" s="5"/>
      <c r="G37" s="5"/>
      <c r="H37" s="5"/>
      <c r="I37" s="5"/>
      <c r="J37" s="5"/>
    </row>
    <row r="38" spans="1:10">
      <c r="A38" s="5"/>
      <c r="B38" s="5"/>
      <c r="C38" s="5"/>
      <c r="D38" s="5"/>
      <c r="E38" s="5"/>
      <c r="F38" s="5"/>
      <c r="G38" s="5"/>
      <c r="H38" s="5"/>
      <c r="I38" s="5"/>
      <c r="J38" s="5"/>
    </row>
    <row r="39" spans="1:10">
      <c r="A39" s="5"/>
      <c r="B39" s="5"/>
      <c r="C39" s="5"/>
      <c r="D39" s="5"/>
      <c r="E39" s="5"/>
      <c r="F39" s="5"/>
      <c r="G39" s="5"/>
      <c r="H39" s="5"/>
      <c r="I39" s="5"/>
      <c r="J39" s="5"/>
    </row>
    <row r="40" spans="1:10">
      <c r="A40" s="5"/>
      <c r="B40" s="5"/>
      <c r="C40" s="5"/>
      <c r="D40" s="5"/>
      <c r="E40" s="5"/>
      <c r="F40" s="5"/>
      <c r="G40" s="5"/>
      <c r="H40" s="5"/>
      <c r="I40" s="5"/>
      <c r="J40" s="5"/>
    </row>
    <row r="41" spans="1:10">
      <c r="A41" s="5"/>
      <c r="B41" s="5"/>
      <c r="C41" s="5"/>
      <c r="D41" s="5"/>
      <c r="E41" s="5"/>
      <c r="F41" s="5"/>
      <c r="G41" s="5"/>
      <c r="H41" s="5"/>
      <c r="I41" s="5"/>
      <c r="J41" s="5"/>
    </row>
    <row r="42" spans="1:10">
      <c r="A42" s="5"/>
      <c r="B42" s="5"/>
      <c r="C42" s="5"/>
      <c r="D42" s="5"/>
      <c r="E42" s="5"/>
      <c r="F42" s="5"/>
      <c r="G42" s="5"/>
      <c r="H42" s="5"/>
      <c r="I42" s="5"/>
      <c r="J42" s="5"/>
    </row>
    <row r="43" spans="1:10">
      <c r="A43" s="5"/>
      <c r="B43" s="5"/>
      <c r="C43" s="5"/>
      <c r="D43" s="5"/>
      <c r="E43" s="5"/>
      <c r="F43" s="5"/>
      <c r="G43" s="5"/>
      <c r="H43" s="5"/>
      <c r="I43" s="5"/>
      <c r="J43" s="5"/>
    </row>
    <row r="44" spans="1:10">
      <c r="A44" s="5"/>
      <c r="B44" s="5"/>
      <c r="C44" s="5"/>
      <c r="D44" s="5"/>
      <c r="E44" s="5"/>
      <c r="F44" s="5"/>
      <c r="G44" s="5"/>
      <c r="H44" s="5"/>
      <c r="I44" s="5"/>
      <c r="J44" s="5"/>
    </row>
    <row r="45" spans="1:10">
      <c r="A45" s="5"/>
      <c r="B45" s="5"/>
      <c r="C45" s="5"/>
      <c r="D45" s="5"/>
      <c r="E45" s="5"/>
      <c r="F45" s="5"/>
      <c r="G45" s="5"/>
      <c r="H45" s="5"/>
      <c r="I45" s="5"/>
      <c r="J45" s="5"/>
    </row>
    <row r="46" spans="1:10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0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0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0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0">
      <c r="A50" s="5"/>
      <c r="B50" s="5"/>
      <c r="C50" s="5"/>
      <c r="D50" s="5"/>
      <c r="E50" s="5"/>
      <c r="F50" s="5"/>
      <c r="G50" s="5"/>
      <c r="H50" s="5"/>
      <c r="I50" s="5"/>
      <c r="J50" s="5"/>
    </row>
    <row r="51" spans="1:10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0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0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0">
      <c r="A54" s="5"/>
      <c r="B54" s="5"/>
      <c r="C54" s="5"/>
      <c r="D54" s="5"/>
      <c r="E54" s="5"/>
      <c r="F54" s="5"/>
      <c r="G54" s="5"/>
      <c r="H54" s="5"/>
      <c r="I54" s="5"/>
      <c r="J54" s="5"/>
    </row>
    <row r="55" spans="1:10">
      <c r="A55" s="5"/>
      <c r="B55" s="5"/>
      <c r="C55" s="5"/>
      <c r="D55" s="5"/>
      <c r="E55" s="5"/>
      <c r="F55" s="5"/>
      <c r="G55" s="5"/>
      <c r="H55" s="5"/>
      <c r="I55" s="5"/>
      <c r="J55" s="5"/>
    </row>
    <row r="56" spans="1:10">
      <c r="A56" s="5"/>
      <c r="B56" s="5"/>
      <c r="C56" s="5"/>
      <c r="D56" s="5"/>
      <c r="E56" s="5"/>
      <c r="F56" s="5"/>
      <c r="G56" s="5"/>
      <c r="H56" s="5"/>
      <c r="I56" s="5"/>
      <c r="J56" s="5"/>
    </row>
    <row r="57" spans="1:10">
      <c r="A57" s="5"/>
      <c r="B57" s="5"/>
      <c r="C57" s="5"/>
      <c r="D57" s="5"/>
      <c r="E57" s="5"/>
      <c r="F57" s="5"/>
      <c r="G57" s="5"/>
      <c r="H57" s="5"/>
      <c r="I57" s="5"/>
      <c r="J57" s="5"/>
    </row>
    <row r="58" spans="1:10">
      <c r="A58" s="5"/>
      <c r="B58" s="5"/>
      <c r="C58" s="5"/>
      <c r="D58" s="5"/>
      <c r="E58" s="5"/>
      <c r="F58" s="5"/>
      <c r="G58" s="5"/>
      <c r="H58" s="5"/>
      <c r="I58" s="5"/>
      <c r="J58" s="5"/>
    </row>
    <row r="59" spans="1:10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0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0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0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0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0">
      <c r="A64" s="5"/>
      <c r="B64" s="5"/>
      <c r="C64" s="5"/>
      <c r="D64" s="5"/>
      <c r="E64" s="5"/>
      <c r="F64" s="5"/>
      <c r="G64" s="5"/>
      <c r="H64" s="5"/>
      <c r="I64" s="5"/>
      <c r="J64" s="5"/>
    </row>
    <row r="65" spans="1:10">
      <c r="A65" s="5"/>
      <c r="B65" s="5"/>
      <c r="C65" s="5"/>
      <c r="D65" s="5"/>
      <c r="E65" s="5"/>
      <c r="F65" s="5"/>
      <c r="G65" s="5"/>
      <c r="H65" s="5"/>
      <c r="I65" s="5"/>
      <c r="J65" s="5"/>
    </row>
    <row r="66" spans="1:10">
      <c r="A66" s="5"/>
      <c r="B66" s="5"/>
      <c r="C66" s="5"/>
      <c r="D66" s="5"/>
      <c r="E66" s="5"/>
      <c r="F66" s="5"/>
      <c r="G66" s="5"/>
      <c r="H66" s="5"/>
      <c r="I66" s="5"/>
      <c r="J66" s="5"/>
    </row>
    <row r="67" spans="1:10">
      <c r="A67" s="5"/>
      <c r="B67" s="5"/>
      <c r="C67" s="5"/>
      <c r="D67" s="5"/>
      <c r="E67" s="5"/>
      <c r="F67" s="5"/>
      <c r="G67" s="5"/>
      <c r="H67" s="5"/>
      <c r="I67" s="5"/>
      <c r="J67" s="5"/>
    </row>
    <row r="68" spans="1:10">
      <c r="A68" s="5"/>
      <c r="B68" s="5"/>
      <c r="C68" s="5"/>
      <c r="D68" s="5"/>
      <c r="E68" s="5"/>
      <c r="F68" s="5"/>
      <c r="G68" s="5"/>
      <c r="H68" s="5"/>
      <c r="I68" s="5"/>
      <c r="J68" s="5"/>
    </row>
    <row r="69" spans="1:10">
      <c r="A69" s="5"/>
      <c r="B69" s="5"/>
      <c r="C69" s="5"/>
      <c r="D69" s="5"/>
      <c r="E69" s="5"/>
      <c r="F69" s="5"/>
      <c r="G69" s="5"/>
      <c r="H69" s="5"/>
      <c r="I69" s="5"/>
      <c r="J69" s="5"/>
    </row>
    <row r="70" spans="1:10">
      <c r="A70" s="5"/>
      <c r="B70" s="5"/>
      <c r="C70" s="5"/>
      <c r="D70" s="5"/>
      <c r="E70" s="5"/>
      <c r="F70" s="5"/>
      <c r="G70" s="5"/>
      <c r="H70" s="5"/>
      <c r="I70" s="5"/>
      <c r="J70" s="5"/>
    </row>
    <row r="71" spans="1:10">
      <c r="A71" s="5"/>
      <c r="B71" s="5"/>
      <c r="C71" s="5"/>
      <c r="D71" s="5"/>
      <c r="E71" s="5"/>
      <c r="F71" s="5"/>
      <c r="G71" s="5"/>
      <c r="H71" s="5"/>
      <c r="I71" s="5"/>
      <c r="J71" s="5"/>
    </row>
    <row r="72" spans="1:10">
      <c r="A72" s="5"/>
      <c r="B72" s="5"/>
      <c r="C72" s="5"/>
      <c r="D72" s="5"/>
      <c r="E72" s="5"/>
      <c r="F72" s="5"/>
      <c r="G72" s="5"/>
      <c r="H72" s="5"/>
      <c r="I72" s="5"/>
      <c r="J72" s="5"/>
    </row>
    <row r="73" spans="1:10">
      <c r="A73" s="5"/>
      <c r="B73" s="5"/>
      <c r="C73" s="5"/>
      <c r="D73" s="5"/>
      <c r="E73" s="5"/>
      <c r="F73" s="5"/>
      <c r="G73" s="5"/>
      <c r="H73" s="5"/>
      <c r="I73" s="5"/>
      <c r="J73" s="5"/>
    </row>
    <row r="74" spans="1:10">
      <c r="A74" s="5"/>
      <c r="B74" s="5"/>
      <c r="C74" s="5"/>
      <c r="D74" s="5"/>
      <c r="E74" s="5"/>
      <c r="F74" s="5"/>
      <c r="G74" s="5"/>
      <c r="H74" s="5"/>
      <c r="I74" s="5"/>
      <c r="J74" s="5"/>
    </row>
    <row r="75" spans="1:10">
      <c r="A75" s="5"/>
      <c r="B75" s="5"/>
      <c r="C75" s="5"/>
      <c r="D75" s="5"/>
      <c r="E75" s="5"/>
      <c r="F75" s="5"/>
      <c r="G75" s="5"/>
      <c r="H75" s="5"/>
      <c r="I75" s="5"/>
      <c r="J75" s="5"/>
    </row>
    <row r="76" spans="1:10">
      <c r="A76" s="5"/>
      <c r="B76" s="5"/>
      <c r="C76" s="5"/>
      <c r="D76" s="5"/>
      <c r="E76" s="5"/>
      <c r="F76" s="5"/>
      <c r="G76" s="5"/>
      <c r="H76" s="5"/>
      <c r="I76" s="5"/>
      <c r="J76" s="5"/>
    </row>
    <row r="77" spans="1:10">
      <c r="A77" s="5"/>
      <c r="B77" s="5"/>
      <c r="C77" s="5"/>
      <c r="D77" s="5"/>
      <c r="E77" s="5"/>
      <c r="F77" s="5"/>
      <c r="G77" s="5"/>
      <c r="H77" s="5"/>
      <c r="I77" s="5"/>
      <c r="J77" s="5"/>
    </row>
    <row r="78" spans="1:10">
      <c r="A78" s="5"/>
      <c r="B78" s="5"/>
      <c r="C78" s="5"/>
      <c r="D78" s="5"/>
      <c r="E78" s="5"/>
      <c r="F78" s="5"/>
      <c r="G78" s="5"/>
      <c r="H78" s="5"/>
      <c r="I78" s="5"/>
      <c r="J78" s="5"/>
    </row>
    <row r="79" spans="1:10">
      <c r="A79" s="5"/>
      <c r="B79" s="5"/>
      <c r="C79" s="5"/>
      <c r="D79" s="5"/>
      <c r="E79" s="5"/>
      <c r="F79" s="5"/>
      <c r="G79" s="5"/>
      <c r="H79" s="5"/>
      <c r="I79" s="5"/>
      <c r="J79" s="5"/>
    </row>
    <row r="80" spans="1:10">
      <c r="A80" s="5"/>
      <c r="B80" s="5"/>
      <c r="C80" s="5"/>
      <c r="D80" s="5"/>
      <c r="E80" s="5"/>
      <c r="F80" s="5"/>
      <c r="G80" s="5"/>
      <c r="H80" s="5"/>
      <c r="I80" s="5"/>
      <c r="J80" s="5"/>
    </row>
    <row r="81" spans="1:10">
      <c r="A81" s="5"/>
      <c r="B81" s="5"/>
      <c r="C81" s="5"/>
      <c r="D81" s="5"/>
      <c r="E81" s="5"/>
      <c r="F81" s="5"/>
      <c r="G81" s="5"/>
      <c r="H81" s="5"/>
      <c r="I81" s="5"/>
      <c r="J81" s="5"/>
    </row>
    <row r="82" spans="1:10">
      <c r="A82" s="5"/>
      <c r="B82" s="5"/>
      <c r="C82" s="5"/>
      <c r="D82" s="5"/>
      <c r="E82" s="5"/>
      <c r="F82" s="5"/>
      <c r="G82" s="5"/>
      <c r="H82" s="5"/>
      <c r="I82" s="5"/>
      <c r="J82" s="5"/>
    </row>
    <row r="83" spans="1:10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>
      <c r="A90" s="5"/>
      <c r="B90" s="5"/>
      <c r="C90" s="5"/>
      <c r="D90" s="5"/>
      <c r="E90" s="5"/>
      <c r="F90" s="5"/>
      <c r="G90" s="5"/>
      <c r="H90" s="5"/>
      <c r="I90" s="5"/>
      <c r="J90" s="5"/>
    </row>
    <row r="91" spans="1:10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>
      <c r="A92" s="5"/>
      <c r="B92" s="5"/>
      <c r="C92" s="5"/>
      <c r="D92" s="5"/>
      <c r="E92" s="5"/>
      <c r="F92" s="5"/>
      <c r="G92" s="5"/>
      <c r="H92" s="5"/>
      <c r="I92" s="5"/>
      <c r="J92" s="5"/>
    </row>
    <row r="93" spans="1:10">
      <c r="A93" s="5"/>
      <c r="B93" s="5"/>
      <c r="C93" s="5"/>
      <c r="D93" s="5"/>
      <c r="E93" s="5"/>
      <c r="F93" s="5"/>
      <c r="G93" s="5"/>
      <c r="H93" s="5"/>
      <c r="I93" s="5"/>
      <c r="J93" s="5"/>
    </row>
    <row r="94" spans="1:10">
      <c r="A94" s="5"/>
      <c r="B94" s="5"/>
      <c r="C94" s="5"/>
      <c r="D94" s="5"/>
      <c r="E94" s="5"/>
      <c r="F94" s="5"/>
      <c r="G94" s="5"/>
      <c r="H94" s="5"/>
      <c r="I94" s="5"/>
      <c r="J94" s="5"/>
    </row>
    <row r="95" spans="1:10">
      <c r="A95" s="5"/>
      <c r="B95" s="5"/>
      <c r="C95" s="5"/>
      <c r="D95" s="5"/>
      <c r="E95" s="5"/>
      <c r="F95" s="5"/>
      <c r="G95" s="5"/>
      <c r="H95" s="5"/>
      <c r="I95" s="5"/>
      <c r="J95" s="5"/>
    </row>
    <row r="96" spans="1:10">
      <c r="A96" s="5"/>
      <c r="B96" s="5"/>
      <c r="C96" s="5"/>
      <c r="D96" s="5"/>
      <c r="E96" s="5"/>
      <c r="F96" s="5"/>
      <c r="G96" s="5"/>
      <c r="H96" s="5"/>
      <c r="I96" s="5"/>
      <c r="J96" s="5"/>
    </row>
    <row r="97" spans="1:10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0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0">
      <c r="A99" s="5"/>
      <c r="B99" s="5"/>
      <c r="C99" s="5"/>
      <c r="D99" s="5"/>
      <c r="E99" s="5"/>
      <c r="F99" s="5"/>
      <c r="G99" s="5"/>
      <c r="H99" s="5"/>
      <c r="I99" s="5"/>
      <c r="J99" s="5"/>
    </row>
    <row r="100" spans="1:10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0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 spans="1:10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 spans="1:10">
      <c r="A103" s="5"/>
      <c r="B103" s="5"/>
      <c r="C103" s="5"/>
      <c r="D103" s="5"/>
      <c r="E103" s="5"/>
      <c r="F103" s="5"/>
      <c r="G103" s="5"/>
      <c r="H103" s="5"/>
      <c r="I103" s="5"/>
      <c r="J103" s="5"/>
    </row>
    <row r="104" spans="1:10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 spans="1:10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 spans="1:10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 spans="1:10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 spans="1:10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 spans="1:10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 spans="1:10">
      <c r="A110" s="5"/>
      <c r="B110" s="5"/>
      <c r="C110" s="5"/>
      <c r="D110" s="5"/>
      <c r="E110" s="5"/>
      <c r="F110" s="5"/>
      <c r="G110" s="5"/>
      <c r="H110" s="5"/>
      <c r="I110" s="5"/>
      <c r="J110" s="5"/>
    </row>
  </sheetData>
  <mergeCells count="3">
    <mergeCell ref="A1:H1"/>
    <mergeCell ref="D3:H3"/>
    <mergeCell ref="D4:H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tabSelected="1" workbookViewId="0">
      <pane ySplit="3" topLeftCell="A4" activePane="bottomLeft" state="frozen"/>
      <selection pane="bottomLeft" sqref="A1:I1"/>
    </sheetView>
  </sheetViews>
  <sheetFormatPr baseColWidth="10" defaultColWidth="9" defaultRowHeight="14.25"/>
  <cols>
    <col min="1" max="1" width="12" customWidth="1"/>
    <col min="2" max="2" width="18" customWidth="1"/>
    <col min="3" max="3" width="24" customWidth="1"/>
    <col min="4" max="4" width="27" customWidth="1"/>
    <col min="5" max="5" width="29" customWidth="1"/>
    <col min="6" max="6" width="28" customWidth="1"/>
    <col min="7" max="7" width="25" customWidth="1"/>
    <col min="8" max="8" width="24" customWidth="1"/>
    <col min="9" max="9" width="18" customWidth="1"/>
    <col min="10" max="10" width="14" customWidth="1"/>
  </cols>
  <sheetData>
    <row r="1" spans="1:10" ht="20.25">
      <c r="A1" s="9" t="s">
        <v>23</v>
      </c>
      <c r="B1" s="9"/>
      <c r="C1" s="9"/>
      <c r="D1" s="9"/>
      <c r="E1" s="9"/>
      <c r="F1" s="9"/>
      <c r="G1" s="9"/>
      <c r="H1" s="9"/>
      <c r="I1" s="9"/>
      <c r="J1" s="6"/>
    </row>
    <row r="2" spans="1:10">
      <c r="A2" s="5"/>
      <c r="B2" s="5"/>
      <c r="C2" s="5"/>
      <c r="D2" s="5"/>
      <c r="E2" s="5"/>
      <c r="F2" s="5"/>
      <c r="G2" s="5"/>
      <c r="H2" s="5"/>
      <c r="I2" s="5"/>
      <c r="J2" s="5"/>
    </row>
    <row r="3" spans="1:10" ht="30">
      <c r="A3" s="1" t="s">
        <v>24</v>
      </c>
      <c r="B3" s="1" t="s">
        <v>25</v>
      </c>
      <c r="C3" s="1" t="s">
        <v>26</v>
      </c>
      <c r="D3" s="1" t="s">
        <v>27</v>
      </c>
      <c r="E3" s="1" t="s">
        <v>28</v>
      </c>
      <c r="F3" s="1" t="s">
        <v>29</v>
      </c>
      <c r="G3" s="1" t="s">
        <v>30</v>
      </c>
      <c r="H3" s="1" t="s">
        <v>31</v>
      </c>
      <c r="I3" s="1" t="s">
        <v>32</v>
      </c>
      <c r="J3" s="1" t="s">
        <v>9</v>
      </c>
    </row>
    <row r="4" spans="1:10" ht="60" customHeight="1">
      <c r="A4" s="7" t="s">
        <v>33</v>
      </c>
      <c r="B4" s="7" t="s">
        <v>34</v>
      </c>
      <c r="C4" s="7" t="s">
        <v>35</v>
      </c>
      <c r="D4" s="7" t="s">
        <v>36</v>
      </c>
      <c r="E4" s="7" t="s">
        <v>37</v>
      </c>
      <c r="F4" s="7" t="s">
        <v>38</v>
      </c>
      <c r="G4" s="7" t="s">
        <v>39</v>
      </c>
      <c r="H4" s="7" t="s">
        <v>40</v>
      </c>
      <c r="I4" s="7" t="s">
        <v>41</v>
      </c>
      <c r="J4" s="8" t="s">
        <v>13</v>
      </c>
    </row>
    <row r="5" spans="1:10" ht="36" customHeight="1">
      <c r="A5" s="7" t="s">
        <v>42</v>
      </c>
      <c r="B5" s="7" t="s">
        <v>43</v>
      </c>
      <c r="C5" s="7" t="s">
        <v>44</v>
      </c>
      <c r="D5" s="7" t="s">
        <v>45</v>
      </c>
      <c r="E5" s="7" t="s">
        <v>46</v>
      </c>
      <c r="F5" s="7" t="s">
        <v>47</v>
      </c>
      <c r="G5" s="7" t="s">
        <v>48</v>
      </c>
      <c r="H5" s="7" t="s">
        <v>49</v>
      </c>
      <c r="I5" s="7" t="s">
        <v>50</v>
      </c>
      <c r="J5" s="8" t="s">
        <v>17</v>
      </c>
    </row>
    <row r="6" spans="1:10" ht="48" customHeight="1">
      <c r="A6" s="7" t="s">
        <v>51</v>
      </c>
      <c r="B6" s="7" t="s">
        <v>52</v>
      </c>
      <c r="C6" s="7" t="s">
        <v>53</v>
      </c>
      <c r="D6" s="7" t="s">
        <v>54</v>
      </c>
      <c r="E6" s="7" t="s">
        <v>55</v>
      </c>
      <c r="F6" s="7" t="s">
        <v>56</v>
      </c>
      <c r="G6" s="7" t="s">
        <v>57</v>
      </c>
      <c r="H6" s="7" t="s">
        <v>58</v>
      </c>
      <c r="I6" s="7" t="s">
        <v>59</v>
      </c>
      <c r="J6" s="8" t="s">
        <v>17</v>
      </c>
    </row>
    <row r="7" spans="1:10" ht="36" customHeight="1">
      <c r="A7" s="7" t="s">
        <v>60</v>
      </c>
      <c r="B7" s="7" t="s">
        <v>61</v>
      </c>
      <c r="C7" s="7" t="s">
        <v>62</v>
      </c>
      <c r="D7" s="7" t="s">
        <v>63</v>
      </c>
      <c r="E7" s="7" t="s">
        <v>64</v>
      </c>
      <c r="F7" s="7" t="s">
        <v>65</v>
      </c>
      <c r="G7" s="7" t="s">
        <v>66</v>
      </c>
      <c r="H7" s="7" t="s">
        <v>67</v>
      </c>
      <c r="I7" s="7" t="s">
        <v>68</v>
      </c>
      <c r="J7" s="8" t="s">
        <v>17</v>
      </c>
    </row>
    <row r="8" spans="1:10" ht="60" customHeight="1">
      <c r="A8" s="7" t="s">
        <v>69</v>
      </c>
      <c r="B8" s="7" t="s">
        <v>70</v>
      </c>
      <c r="C8" s="7" t="s">
        <v>71</v>
      </c>
      <c r="D8" s="7" t="s">
        <v>72</v>
      </c>
      <c r="E8" s="7" t="s">
        <v>73</v>
      </c>
      <c r="F8" s="7" t="s">
        <v>74</v>
      </c>
      <c r="G8" s="7" t="s">
        <v>75</v>
      </c>
      <c r="H8" s="7" t="s">
        <v>76</v>
      </c>
      <c r="I8" s="7" t="s">
        <v>77</v>
      </c>
      <c r="J8" s="8" t="s">
        <v>17</v>
      </c>
    </row>
    <row r="9" spans="1:10" ht="48" customHeight="1">
      <c r="A9" s="7" t="s">
        <v>78</v>
      </c>
      <c r="B9" s="7" t="s">
        <v>79</v>
      </c>
      <c r="C9" s="7" t="s">
        <v>80</v>
      </c>
      <c r="D9" s="7" t="s">
        <v>81</v>
      </c>
      <c r="E9" s="7" t="s">
        <v>82</v>
      </c>
      <c r="F9" s="7" t="s">
        <v>83</v>
      </c>
      <c r="G9" s="7" t="s">
        <v>84</v>
      </c>
      <c r="H9" s="7" t="s">
        <v>85</v>
      </c>
      <c r="I9" s="7" t="s">
        <v>86</v>
      </c>
      <c r="J9" s="8" t="s">
        <v>17</v>
      </c>
    </row>
    <row r="10" spans="1:10" ht="36" customHeight="1">
      <c r="A10" s="7" t="s">
        <v>87</v>
      </c>
      <c r="B10" s="7" t="s">
        <v>88</v>
      </c>
      <c r="C10" s="7" t="s">
        <v>89</v>
      </c>
      <c r="D10" s="7" t="s">
        <v>90</v>
      </c>
      <c r="E10" s="7" t="s">
        <v>91</v>
      </c>
      <c r="F10" s="7" t="s">
        <v>92</v>
      </c>
      <c r="G10" s="7" t="s">
        <v>93</v>
      </c>
      <c r="H10" s="7" t="s">
        <v>94</v>
      </c>
      <c r="I10" s="7" t="s">
        <v>95</v>
      </c>
      <c r="J10" s="8" t="s">
        <v>17</v>
      </c>
    </row>
    <row r="11" spans="1:10" ht="36" customHeight="1">
      <c r="A11" s="7" t="s">
        <v>96</v>
      </c>
      <c r="B11" s="7" t="s">
        <v>97</v>
      </c>
      <c r="C11" s="7" t="s">
        <v>98</v>
      </c>
      <c r="D11" s="7" t="s">
        <v>99</v>
      </c>
      <c r="E11" s="7" t="s">
        <v>100</v>
      </c>
      <c r="F11" s="7" t="s">
        <v>101</v>
      </c>
      <c r="G11" s="7" t="s">
        <v>102</v>
      </c>
      <c r="H11" s="7" t="s">
        <v>103</v>
      </c>
      <c r="I11" s="7" t="s">
        <v>104</v>
      </c>
      <c r="J11" s="8" t="s">
        <v>17</v>
      </c>
    </row>
  </sheetData>
  <mergeCells count="1">
    <mergeCell ref="A1:I1"/>
  </mergeCells>
  <conditionalFormatting sqref="J4:J11">
    <cfRule type="containsText" dxfId="6" priority="1" operator="containsText" text="Verde"/>
    <cfRule type="containsText" dxfId="5" priority="2" operator="containsText" text="Amarillo"/>
    <cfRule type="containsText" dxfId="4" priority="3" operator="containsText" text="Rojo"/>
  </conditionalFormatting>
  <dataValidations count="1">
    <dataValidation type="list" sqref="J4:J11" xr:uid="{00000000-0002-0000-0100-000000000000}">
      <formula1>"Verde,Amarillo,Rojo"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0"/>
  <sheetViews>
    <sheetView workbookViewId="0">
      <pane ySplit="3" topLeftCell="A4" activePane="bottomLeft" state="frozen"/>
      <selection pane="bottomLeft"/>
    </sheetView>
  </sheetViews>
  <sheetFormatPr baseColWidth="10" defaultColWidth="9" defaultRowHeight="14.25"/>
  <cols>
    <col min="1" max="1" width="13" customWidth="1"/>
    <col min="2" max="2" width="34" customWidth="1"/>
    <col min="3" max="3" width="32" customWidth="1"/>
    <col min="4" max="4" width="26" customWidth="1"/>
    <col min="5" max="5" width="12" customWidth="1"/>
    <col min="6" max="6" width="26" customWidth="1"/>
  </cols>
  <sheetData>
    <row r="1" spans="1:10" ht="20.25">
      <c r="A1" s="9" t="s">
        <v>105</v>
      </c>
      <c r="B1" s="9"/>
      <c r="C1" s="9"/>
      <c r="D1" s="9"/>
      <c r="E1" s="9"/>
      <c r="F1" s="9"/>
      <c r="G1" s="5"/>
      <c r="H1" s="5"/>
      <c r="I1" s="5"/>
      <c r="J1" s="5"/>
    </row>
    <row r="2" spans="1:10">
      <c r="A2" s="5"/>
      <c r="B2" s="5"/>
      <c r="C2" s="5"/>
      <c r="D2" s="5"/>
      <c r="E2" s="5"/>
      <c r="F2" s="5"/>
      <c r="G2" s="5"/>
      <c r="H2" s="5"/>
      <c r="I2" s="5"/>
      <c r="J2" s="5"/>
    </row>
    <row r="3" spans="1:10" ht="30">
      <c r="A3" s="1" t="s">
        <v>106</v>
      </c>
      <c r="B3" s="1" t="s">
        <v>107</v>
      </c>
      <c r="C3" s="1" t="s">
        <v>108</v>
      </c>
      <c r="D3" s="1" t="s">
        <v>109</v>
      </c>
      <c r="E3" s="1" t="s">
        <v>110</v>
      </c>
      <c r="F3" s="1" t="s">
        <v>111</v>
      </c>
      <c r="G3" s="5"/>
      <c r="H3" s="5"/>
      <c r="I3" s="5"/>
      <c r="J3" s="5"/>
    </row>
    <row r="4" spans="1:10" ht="60" customHeight="1">
      <c r="A4" s="4" t="s">
        <v>112</v>
      </c>
      <c r="B4" s="7" t="s">
        <v>113</v>
      </c>
      <c r="C4" s="7" t="s">
        <v>114</v>
      </c>
      <c r="D4" s="7" t="s">
        <v>115</v>
      </c>
      <c r="E4" s="7" t="s">
        <v>116</v>
      </c>
      <c r="F4" s="7" t="s">
        <v>117</v>
      </c>
      <c r="G4" s="5"/>
      <c r="H4" s="5"/>
      <c r="I4" s="5"/>
      <c r="J4" s="5"/>
    </row>
    <row r="5" spans="1:10" ht="60" customHeight="1">
      <c r="A5" s="4" t="s">
        <v>118</v>
      </c>
      <c r="B5" s="7" t="s">
        <v>119</v>
      </c>
      <c r="C5" s="7" t="s">
        <v>120</v>
      </c>
      <c r="D5" s="7" t="s">
        <v>121</v>
      </c>
      <c r="E5" s="7" t="s">
        <v>116</v>
      </c>
      <c r="F5" s="7" t="s">
        <v>122</v>
      </c>
      <c r="G5" s="5"/>
      <c r="H5" s="5"/>
      <c r="I5" s="5"/>
      <c r="J5" s="5"/>
    </row>
    <row r="6" spans="1:10" ht="48" customHeight="1">
      <c r="A6" s="4" t="s">
        <v>123</v>
      </c>
      <c r="B6" s="7" t="s">
        <v>124</v>
      </c>
      <c r="C6" s="7" t="s">
        <v>125</v>
      </c>
      <c r="D6" s="7" t="s">
        <v>126</v>
      </c>
      <c r="E6" s="7" t="s">
        <v>116</v>
      </c>
      <c r="F6" s="7" t="s">
        <v>127</v>
      </c>
      <c r="G6" s="5"/>
      <c r="H6" s="5"/>
      <c r="I6" s="5"/>
      <c r="J6" s="5"/>
    </row>
    <row r="7" spans="1:10" ht="48" customHeight="1">
      <c r="A7" s="4" t="s">
        <v>128</v>
      </c>
      <c r="B7" s="7" t="s">
        <v>129</v>
      </c>
      <c r="C7" s="7" t="s">
        <v>130</v>
      </c>
      <c r="D7" s="7" t="s">
        <v>131</v>
      </c>
      <c r="E7" s="7" t="s">
        <v>116</v>
      </c>
      <c r="F7" s="7" t="s">
        <v>132</v>
      </c>
      <c r="G7" s="5"/>
      <c r="H7" s="5"/>
      <c r="I7" s="5"/>
      <c r="J7" s="5"/>
    </row>
    <row r="8" spans="1:10" ht="48" customHeight="1">
      <c r="A8" s="4" t="s">
        <v>133</v>
      </c>
      <c r="B8" s="7" t="s">
        <v>134</v>
      </c>
      <c r="C8" s="7" t="s">
        <v>135</v>
      </c>
      <c r="D8" s="7" t="s">
        <v>136</v>
      </c>
      <c r="E8" s="7" t="s">
        <v>116</v>
      </c>
      <c r="F8" s="7" t="s">
        <v>137</v>
      </c>
      <c r="G8" s="5"/>
      <c r="H8" s="5"/>
      <c r="I8" s="5"/>
      <c r="J8" s="5"/>
    </row>
    <row r="9" spans="1:10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>
      <c r="A21" s="5"/>
      <c r="B21" s="5"/>
      <c r="C21" s="5"/>
      <c r="D21" s="5"/>
      <c r="E21" s="5"/>
      <c r="F21" s="5"/>
      <c r="G21" s="5"/>
      <c r="H21" s="5"/>
      <c r="I21" s="5"/>
      <c r="J21" s="5"/>
    </row>
    <row r="22" spans="1:10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0">
      <c r="A23" s="5"/>
      <c r="B23" s="5"/>
      <c r="C23" s="5"/>
      <c r="D23" s="5"/>
      <c r="E23" s="5"/>
      <c r="F23" s="5"/>
      <c r="G23" s="5"/>
      <c r="H23" s="5"/>
      <c r="I23" s="5"/>
      <c r="J23" s="5"/>
    </row>
    <row r="24" spans="1:10">
      <c r="A24" s="5"/>
      <c r="B24" s="5"/>
      <c r="C24" s="5"/>
      <c r="D24" s="5"/>
      <c r="E24" s="5"/>
      <c r="F24" s="5"/>
      <c r="G24" s="5"/>
      <c r="H24" s="5"/>
      <c r="I24" s="5"/>
      <c r="J24" s="5"/>
    </row>
    <row r="25" spans="1:10">
      <c r="A25" s="5"/>
      <c r="B25" s="5"/>
      <c r="C25" s="5"/>
      <c r="D25" s="5"/>
      <c r="E25" s="5"/>
      <c r="F25" s="5"/>
      <c r="G25" s="5"/>
      <c r="H25" s="5"/>
      <c r="I25" s="5"/>
      <c r="J25" s="5"/>
    </row>
    <row r="26" spans="1:10">
      <c r="A26" s="5"/>
      <c r="B26" s="5"/>
      <c r="C26" s="5"/>
      <c r="D26" s="5"/>
      <c r="E26" s="5"/>
      <c r="F26" s="5"/>
      <c r="G26" s="5"/>
      <c r="H26" s="5"/>
      <c r="I26" s="5"/>
      <c r="J26" s="5"/>
    </row>
    <row r="27" spans="1:10">
      <c r="A27" s="5"/>
      <c r="B27" s="5"/>
      <c r="C27" s="5"/>
      <c r="D27" s="5"/>
      <c r="E27" s="5"/>
      <c r="F27" s="5"/>
      <c r="G27" s="5"/>
      <c r="H27" s="5"/>
      <c r="I27" s="5"/>
      <c r="J27" s="5"/>
    </row>
    <row r="28" spans="1:10">
      <c r="A28" s="5"/>
      <c r="B28" s="5"/>
      <c r="C28" s="5"/>
      <c r="D28" s="5"/>
      <c r="E28" s="5"/>
      <c r="F28" s="5"/>
      <c r="G28" s="5"/>
      <c r="H28" s="5"/>
      <c r="I28" s="5"/>
      <c r="J28" s="5"/>
    </row>
    <row r="29" spans="1:10">
      <c r="A29" s="5"/>
      <c r="B29" s="5"/>
      <c r="C29" s="5"/>
      <c r="D29" s="5"/>
      <c r="E29" s="5"/>
      <c r="F29" s="5"/>
      <c r="G29" s="5"/>
      <c r="H29" s="5"/>
      <c r="I29" s="5"/>
      <c r="J29" s="5"/>
    </row>
    <row r="30" spans="1:10">
      <c r="A30" s="5"/>
      <c r="B30" s="5"/>
      <c r="C30" s="5"/>
      <c r="D30" s="5"/>
      <c r="E30" s="5"/>
      <c r="F30" s="5"/>
      <c r="G30" s="5"/>
      <c r="H30" s="5"/>
      <c r="I30" s="5"/>
      <c r="J30" s="5"/>
    </row>
    <row r="31" spans="1:10">
      <c r="A31" s="5"/>
      <c r="B31" s="5"/>
      <c r="C31" s="5"/>
      <c r="D31" s="5"/>
      <c r="E31" s="5"/>
      <c r="F31" s="5"/>
      <c r="G31" s="5"/>
      <c r="H31" s="5"/>
      <c r="I31" s="5"/>
      <c r="J31" s="5"/>
    </row>
    <row r="32" spans="1:10">
      <c r="A32" s="5"/>
      <c r="B32" s="5"/>
      <c r="C32" s="5"/>
      <c r="D32" s="5"/>
      <c r="E32" s="5"/>
      <c r="F32" s="5"/>
      <c r="G32" s="5"/>
      <c r="H32" s="5"/>
      <c r="I32" s="5"/>
      <c r="J32" s="5"/>
    </row>
    <row r="33" spans="1:10">
      <c r="A33" s="5"/>
      <c r="B33" s="5"/>
      <c r="C33" s="5"/>
      <c r="D33" s="5"/>
      <c r="E33" s="5"/>
      <c r="F33" s="5"/>
      <c r="G33" s="5"/>
      <c r="H33" s="5"/>
      <c r="I33" s="5"/>
      <c r="J33" s="5"/>
    </row>
    <row r="34" spans="1:10">
      <c r="A34" s="5"/>
      <c r="B34" s="5"/>
      <c r="C34" s="5"/>
      <c r="D34" s="5"/>
      <c r="E34" s="5"/>
      <c r="F34" s="5"/>
      <c r="G34" s="5"/>
      <c r="H34" s="5"/>
      <c r="I34" s="5"/>
      <c r="J34" s="5"/>
    </row>
    <row r="35" spans="1:10">
      <c r="A35" s="5"/>
      <c r="B35" s="5"/>
      <c r="C35" s="5"/>
      <c r="D35" s="5"/>
      <c r="E35" s="5"/>
      <c r="F35" s="5"/>
      <c r="G35" s="5"/>
      <c r="H35" s="5"/>
      <c r="I35" s="5"/>
      <c r="J35" s="5"/>
    </row>
    <row r="36" spans="1:10">
      <c r="A36" s="5"/>
      <c r="B36" s="5"/>
      <c r="C36" s="5"/>
      <c r="D36" s="5"/>
      <c r="E36" s="5"/>
      <c r="F36" s="5"/>
      <c r="G36" s="5"/>
      <c r="H36" s="5"/>
      <c r="I36" s="5"/>
      <c r="J36" s="5"/>
    </row>
    <row r="37" spans="1:10">
      <c r="A37" s="5"/>
      <c r="B37" s="5"/>
      <c r="C37" s="5"/>
      <c r="D37" s="5"/>
      <c r="E37" s="5"/>
      <c r="F37" s="5"/>
      <c r="G37" s="5"/>
      <c r="H37" s="5"/>
      <c r="I37" s="5"/>
      <c r="J37" s="5"/>
    </row>
    <row r="38" spans="1:10">
      <c r="A38" s="5"/>
      <c r="B38" s="5"/>
      <c r="C38" s="5"/>
      <c r="D38" s="5"/>
      <c r="E38" s="5"/>
      <c r="F38" s="5"/>
      <c r="G38" s="5"/>
      <c r="H38" s="5"/>
      <c r="I38" s="5"/>
      <c r="J38" s="5"/>
    </row>
    <row r="39" spans="1:10">
      <c r="A39" s="5"/>
      <c r="B39" s="5"/>
      <c r="C39" s="5"/>
      <c r="D39" s="5"/>
      <c r="E39" s="5"/>
      <c r="F39" s="5"/>
      <c r="G39" s="5"/>
      <c r="H39" s="5"/>
      <c r="I39" s="5"/>
      <c r="J39" s="5"/>
    </row>
    <row r="40" spans="1:10">
      <c r="A40" s="5"/>
      <c r="B40" s="5"/>
      <c r="C40" s="5"/>
      <c r="D40" s="5"/>
      <c r="E40" s="5"/>
      <c r="F40" s="5"/>
      <c r="G40" s="5"/>
      <c r="H40" s="5"/>
      <c r="I40" s="5"/>
      <c r="J40" s="5"/>
    </row>
    <row r="41" spans="1:10">
      <c r="A41" s="5"/>
      <c r="B41" s="5"/>
      <c r="C41" s="5"/>
      <c r="D41" s="5"/>
      <c r="E41" s="5"/>
      <c r="F41" s="5"/>
      <c r="G41" s="5"/>
      <c r="H41" s="5"/>
      <c r="I41" s="5"/>
      <c r="J41" s="5"/>
    </row>
    <row r="42" spans="1:10">
      <c r="A42" s="5"/>
      <c r="B42" s="5"/>
      <c r="C42" s="5"/>
      <c r="D42" s="5"/>
      <c r="E42" s="5"/>
      <c r="F42" s="5"/>
      <c r="G42" s="5"/>
      <c r="H42" s="5"/>
      <c r="I42" s="5"/>
      <c r="J42" s="5"/>
    </row>
    <row r="43" spans="1:10">
      <c r="A43" s="5"/>
      <c r="B43" s="5"/>
      <c r="C43" s="5"/>
      <c r="D43" s="5"/>
      <c r="E43" s="5"/>
      <c r="F43" s="5"/>
      <c r="G43" s="5"/>
      <c r="H43" s="5"/>
      <c r="I43" s="5"/>
      <c r="J43" s="5"/>
    </row>
    <row r="44" spans="1:10">
      <c r="A44" s="5"/>
      <c r="B44" s="5"/>
      <c r="C44" s="5"/>
      <c r="D44" s="5"/>
      <c r="E44" s="5"/>
      <c r="F44" s="5"/>
      <c r="G44" s="5"/>
      <c r="H44" s="5"/>
      <c r="I44" s="5"/>
      <c r="J44" s="5"/>
    </row>
    <row r="45" spans="1:10">
      <c r="A45" s="5"/>
      <c r="B45" s="5"/>
      <c r="C45" s="5"/>
      <c r="D45" s="5"/>
      <c r="E45" s="5"/>
      <c r="F45" s="5"/>
      <c r="G45" s="5"/>
      <c r="H45" s="5"/>
      <c r="I45" s="5"/>
      <c r="J45" s="5"/>
    </row>
    <row r="46" spans="1:10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0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0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0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0">
      <c r="A50" s="5"/>
      <c r="B50" s="5"/>
      <c r="C50" s="5"/>
      <c r="D50" s="5"/>
      <c r="E50" s="5"/>
      <c r="F50" s="5"/>
      <c r="G50" s="5"/>
      <c r="H50" s="5"/>
      <c r="I50" s="5"/>
      <c r="J50" s="5"/>
    </row>
    <row r="51" spans="1:10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0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0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0">
      <c r="A54" s="5"/>
      <c r="B54" s="5"/>
      <c r="C54" s="5"/>
      <c r="D54" s="5"/>
      <c r="E54" s="5"/>
      <c r="F54" s="5"/>
      <c r="G54" s="5"/>
      <c r="H54" s="5"/>
      <c r="I54" s="5"/>
      <c r="J54" s="5"/>
    </row>
    <row r="55" spans="1:10">
      <c r="A55" s="5"/>
      <c r="B55" s="5"/>
      <c r="C55" s="5"/>
      <c r="D55" s="5"/>
      <c r="E55" s="5"/>
      <c r="F55" s="5"/>
      <c r="G55" s="5"/>
      <c r="H55" s="5"/>
      <c r="I55" s="5"/>
      <c r="J55" s="5"/>
    </row>
    <row r="56" spans="1:10">
      <c r="A56" s="5"/>
      <c r="B56" s="5"/>
      <c r="C56" s="5"/>
      <c r="D56" s="5"/>
      <c r="E56" s="5"/>
      <c r="F56" s="5"/>
      <c r="G56" s="5"/>
      <c r="H56" s="5"/>
      <c r="I56" s="5"/>
      <c r="J56" s="5"/>
    </row>
    <row r="57" spans="1:10">
      <c r="A57" s="5"/>
      <c r="B57" s="5"/>
      <c r="C57" s="5"/>
      <c r="D57" s="5"/>
      <c r="E57" s="5"/>
      <c r="F57" s="5"/>
      <c r="G57" s="5"/>
      <c r="H57" s="5"/>
      <c r="I57" s="5"/>
      <c r="J57" s="5"/>
    </row>
    <row r="58" spans="1:10">
      <c r="A58" s="5"/>
      <c r="B58" s="5"/>
      <c r="C58" s="5"/>
      <c r="D58" s="5"/>
      <c r="E58" s="5"/>
      <c r="F58" s="5"/>
      <c r="G58" s="5"/>
      <c r="H58" s="5"/>
      <c r="I58" s="5"/>
      <c r="J58" s="5"/>
    </row>
    <row r="59" spans="1:10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0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0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0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0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0">
      <c r="A64" s="5"/>
      <c r="B64" s="5"/>
      <c r="C64" s="5"/>
      <c r="D64" s="5"/>
      <c r="E64" s="5"/>
      <c r="F64" s="5"/>
      <c r="G64" s="5"/>
      <c r="H64" s="5"/>
      <c r="I64" s="5"/>
      <c r="J64" s="5"/>
    </row>
    <row r="65" spans="1:10">
      <c r="A65" s="5"/>
      <c r="B65" s="5"/>
      <c r="C65" s="5"/>
      <c r="D65" s="5"/>
      <c r="E65" s="5"/>
      <c r="F65" s="5"/>
      <c r="G65" s="5"/>
      <c r="H65" s="5"/>
      <c r="I65" s="5"/>
      <c r="J65" s="5"/>
    </row>
    <row r="66" spans="1:10">
      <c r="A66" s="5"/>
      <c r="B66" s="5"/>
      <c r="C66" s="5"/>
      <c r="D66" s="5"/>
      <c r="E66" s="5"/>
      <c r="F66" s="5"/>
      <c r="G66" s="5"/>
      <c r="H66" s="5"/>
      <c r="I66" s="5"/>
      <c r="J66" s="5"/>
    </row>
    <row r="67" spans="1:10">
      <c r="A67" s="5"/>
      <c r="B67" s="5"/>
      <c r="C67" s="5"/>
      <c r="D67" s="5"/>
      <c r="E67" s="5"/>
      <c r="F67" s="5"/>
      <c r="G67" s="5"/>
      <c r="H67" s="5"/>
      <c r="I67" s="5"/>
      <c r="J67" s="5"/>
    </row>
    <row r="68" spans="1:10">
      <c r="A68" s="5"/>
      <c r="B68" s="5"/>
      <c r="C68" s="5"/>
      <c r="D68" s="5"/>
      <c r="E68" s="5"/>
      <c r="F68" s="5"/>
      <c r="G68" s="5"/>
      <c r="H68" s="5"/>
      <c r="I68" s="5"/>
      <c r="J68" s="5"/>
    </row>
    <row r="69" spans="1:10">
      <c r="A69" s="5"/>
      <c r="B69" s="5"/>
      <c r="C69" s="5"/>
      <c r="D69" s="5"/>
      <c r="E69" s="5"/>
      <c r="F69" s="5"/>
      <c r="G69" s="5"/>
      <c r="H69" s="5"/>
      <c r="I69" s="5"/>
      <c r="J69" s="5"/>
    </row>
    <row r="70" spans="1:10">
      <c r="A70" s="5"/>
      <c r="B70" s="5"/>
      <c r="C70" s="5"/>
      <c r="D70" s="5"/>
      <c r="E70" s="5"/>
      <c r="F70" s="5"/>
      <c r="G70" s="5"/>
      <c r="H70" s="5"/>
      <c r="I70" s="5"/>
      <c r="J70" s="5"/>
    </row>
    <row r="71" spans="1:10">
      <c r="A71" s="5"/>
      <c r="B71" s="5"/>
      <c r="C71" s="5"/>
      <c r="D71" s="5"/>
      <c r="E71" s="5"/>
      <c r="F71" s="5"/>
      <c r="G71" s="5"/>
      <c r="H71" s="5"/>
      <c r="I71" s="5"/>
      <c r="J71" s="5"/>
    </row>
    <row r="72" spans="1:10">
      <c r="A72" s="5"/>
      <c r="B72" s="5"/>
      <c r="C72" s="5"/>
      <c r="D72" s="5"/>
      <c r="E72" s="5"/>
      <c r="F72" s="5"/>
      <c r="G72" s="5"/>
      <c r="H72" s="5"/>
      <c r="I72" s="5"/>
      <c r="J72" s="5"/>
    </row>
    <row r="73" spans="1:10">
      <c r="A73" s="5"/>
      <c r="B73" s="5"/>
      <c r="C73" s="5"/>
      <c r="D73" s="5"/>
      <c r="E73" s="5"/>
      <c r="F73" s="5"/>
      <c r="G73" s="5"/>
      <c r="H73" s="5"/>
      <c r="I73" s="5"/>
      <c r="J73" s="5"/>
    </row>
    <row r="74" spans="1:10">
      <c r="A74" s="5"/>
      <c r="B74" s="5"/>
      <c r="C74" s="5"/>
      <c r="D74" s="5"/>
      <c r="E74" s="5"/>
      <c r="F74" s="5"/>
      <c r="G74" s="5"/>
      <c r="H74" s="5"/>
      <c r="I74" s="5"/>
      <c r="J74" s="5"/>
    </row>
    <row r="75" spans="1:10">
      <c r="A75" s="5"/>
      <c r="B75" s="5"/>
      <c r="C75" s="5"/>
      <c r="D75" s="5"/>
      <c r="E75" s="5"/>
      <c r="F75" s="5"/>
      <c r="G75" s="5"/>
      <c r="H75" s="5"/>
      <c r="I75" s="5"/>
      <c r="J75" s="5"/>
    </row>
    <row r="76" spans="1:10">
      <c r="A76" s="5"/>
      <c r="B76" s="5"/>
      <c r="C76" s="5"/>
      <c r="D76" s="5"/>
      <c r="E76" s="5"/>
      <c r="F76" s="5"/>
      <c r="G76" s="5"/>
      <c r="H76" s="5"/>
      <c r="I76" s="5"/>
      <c r="J76" s="5"/>
    </row>
    <row r="77" spans="1:10">
      <c r="A77" s="5"/>
      <c r="B77" s="5"/>
      <c r="C77" s="5"/>
      <c r="D77" s="5"/>
      <c r="E77" s="5"/>
      <c r="F77" s="5"/>
      <c r="G77" s="5"/>
      <c r="H77" s="5"/>
      <c r="I77" s="5"/>
      <c r="J77" s="5"/>
    </row>
    <row r="78" spans="1:10">
      <c r="A78" s="5"/>
      <c r="B78" s="5"/>
      <c r="C78" s="5"/>
      <c r="D78" s="5"/>
      <c r="E78" s="5"/>
      <c r="F78" s="5"/>
      <c r="G78" s="5"/>
      <c r="H78" s="5"/>
      <c r="I78" s="5"/>
      <c r="J78" s="5"/>
    </row>
    <row r="79" spans="1:10">
      <c r="A79" s="5"/>
      <c r="B79" s="5"/>
      <c r="C79" s="5"/>
      <c r="D79" s="5"/>
      <c r="E79" s="5"/>
      <c r="F79" s="5"/>
      <c r="G79" s="5"/>
      <c r="H79" s="5"/>
      <c r="I79" s="5"/>
      <c r="J79" s="5"/>
    </row>
    <row r="80" spans="1:10">
      <c r="A80" s="5"/>
      <c r="B80" s="5"/>
      <c r="C80" s="5"/>
      <c r="D80" s="5"/>
      <c r="E80" s="5"/>
      <c r="F80" s="5"/>
      <c r="G80" s="5"/>
      <c r="H80" s="5"/>
      <c r="I80" s="5"/>
      <c r="J80" s="5"/>
    </row>
    <row r="81" spans="1:10">
      <c r="A81" s="5"/>
      <c r="B81" s="5"/>
      <c r="C81" s="5"/>
      <c r="D81" s="5"/>
      <c r="E81" s="5"/>
      <c r="F81" s="5"/>
      <c r="G81" s="5"/>
      <c r="H81" s="5"/>
      <c r="I81" s="5"/>
      <c r="J81" s="5"/>
    </row>
    <row r="82" spans="1:10">
      <c r="A82" s="5"/>
      <c r="B82" s="5"/>
      <c r="C82" s="5"/>
      <c r="D82" s="5"/>
      <c r="E82" s="5"/>
      <c r="F82" s="5"/>
      <c r="G82" s="5"/>
      <c r="H82" s="5"/>
      <c r="I82" s="5"/>
      <c r="J82" s="5"/>
    </row>
    <row r="83" spans="1:10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>
      <c r="A90" s="5"/>
      <c r="B90" s="5"/>
      <c r="C90" s="5"/>
      <c r="D90" s="5"/>
      <c r="E90" s="5"/>
      <c r="F90" s="5"/>
      <c r="G90" s="5"/>
      <c r="H90" s="5"/>
      <c r="I90" s="5"/>
      <c r="J90" s="5"/>
    </row>
    <row r="91" spans="1:10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>
      <c r="A92" s="5"/>
      <c r="B92" s="5"/>
      <c r="C92" s="5"/>
      <c r="D92" s="5"/>
      <c r="E92" s="5"/>
      <c r="F92" s="5"/>
      <c r="G92" s="5"/>
      <c r="H92" s="5"/>
      <c r="I92" s="5"/>
      <c r="J92" s="5"/>
    </row>
    <row r="93" spans="1:10">
      <c r="A93" s="5"/>
      <c r="B93" s="5"/>
      <c r="C93" s="5"/>
      <c r="D93" s="5"/>
      <c r="E93" s="5"/>
      <c r="F93" s="5"/>
      <c r="G93" s="5"/>
      <c r="H93" s="5"/>
      <c r="I93" s="5"/>
      <c r="J93" s="5"/>
    </row>
    <row r="94" spans="1:10">
      <c r="A94" s="5"/>
      <c r="B94" s="5"/>
      <c r="C94" s="5"/>
      <c r="D94" s="5"/>
      <c r="E94" s="5"/>
      <c r="F94" s="5"/>
      <c r="G94" s="5"/>
      <c r="H94" s="5"/>
      <c r="I94" s="5"/>
      <c r="J94" s="5"/>
    </row>
    <row r="95" spans="1:10">
      <c r="A95" s="5"/>
      <c r="B95" s="5"/>
      <c r="C95" s="5"/>
      <c r="D95" s="5"/>
      <c r="E95" s="5"/>
      <c r="F95" s="5"/>
      <c r="G95" s="5"/>
      <c r="H95" s="5"/>
      <c r="I95" s="5"/>
      <c r="J95" s="5"/>
    </row>
    <row r="96" spans="1:10">
      <c r="A96" s="5"/>
      <c r="B96" s="5"/>
      <c r="C96" s="5"/>
      <c r="D96" s="5"/>
      <c r="E96" s="5"/>
      <c r="F96" s="5"/>
      <c r="G96" s="5"/>
      <c r="H96" s="5"/>
      <c r="I96" s="5"/>
      <c r="J96" s="5"/>
    </row>
    <row r="97" spans="1:10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0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0">
      <c r="A99" s="5"/>
      <c r="B99" s="5"/>
      <c r="C99" s="5"/>
      <c r="D99" s="5"/>
      <c r="E99" s="5"/>
      <c r="F99" s="5"/>
      <c r="G99" s="5"/>
      <c r="H99" s="5"/>
      <c r="I99" s="5"/>
      <c r="J99" s="5"/>
    </row>
    <row r="100" spans="1:10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0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 spans="1:10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 spans="1:10">
      <c r="A103" s="5"/>
      <c r="B103" s="5"/>
      <c r="C103" s="5"/>
      <c r="D103" s="5"/>
      <c r="E103" s="5"/>
      <c r="F103" s="5"/>
      <c r="G103" s="5"/>
      <c r="H103" s="5"/>
      <c r="I103" s="5"/>
      <c r="J103" s="5"/>
    </row>
    <row r="104" spans="1:10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 spans="1:10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 spans="1:10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 spans="1:10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 spans="1:10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 spans="1:10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 spans="1:10">
      <c r="A110" s="5"/>
      <c r="B110" s="5"/>
      <c r="C110" s="5"/>
      <c r="D110" s="5"/>
      <c r="E110" s="5"/>
      <c r="F110" s="5"/>
      <c r="G110" s="5"/>
      <c r="H110" s="5"/>
      <c r="I110" s="5"/>
      <c r="J110" s="5"/>
    </row>
  </sheetData>
  <mergeCells count="1">
    <mergeCell ref="A1:F1"/>
  </mergeCells>
  <dataValidations count="1">
    <dataValidation type="list" sqref="E4:E8" xr:uid="{00000000-0002-0000-0200-000000000000}">
      <formula1>"Sí,No,Parcial"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0"/>
  <sheetViews>
    <sheetView workbookViewId="0">
      <pane ySplit="3" topLeftCell="A4" activePane="bottomLeft" state="frozen"/>
      <selection pane="bottomLeft"/>
    </sheetView>
  </sheetViews>
  <sheetFormatPr baseColWidth="10" defaultColWidth="9" defaultRowHeight="14.25"/>
  <cols>
    <col min="1" max="1" width="11" customWidth="1"/>
    <col min="2" max="2" width="34" customWidth="1"/>
    <col min="3" max="3" width="28" customWidth="1"/>
    <col min="4" max="4" width="27" customWidth="1"/>
    <col min="5" max="5" width="30" customWidth="1"/>
    <col min="6" max="6" width="22" customWidth="1"/>
    <col min="7" max="7" width="24" customWidth="1"/>
    <col min="8" max="8" width="13" customWidth="1"/>
    <col min="9" max="9" width="22" customWidth="1"/>
  </cols>
  <sheetData>
    <row r="1" spans="1:10" ht="20.25">
      <c r="A1" s="9" t="s">
        <v>138</v>
      </c>
      <c r="B1" s="9"/>
      <c r="C1" s="9"/>
      <c r="D1" s="9"/>
      <c r="E1" s="9"/>
      <c r="F1" s="9"/>
      <c r="G1" s="9"/>
      <c r="H1" s="9"/>
      <c r="I1" s="9"/>
      <c r="J1" s="5"/>
    </row>
    <row r="2" spans="1:10">
      <c r="A2" s="5"/>
      <c r="B2" s="5"/>
      <c r="C2" s="5"/>
      <c r="D2" s="5"/>
      <c r="E2" s="5"/>
      <c r="F2" s="5"/>
      <c r="G2" s="5"/>
      <c r="H2" s="5"/>
      <c r="I2" s="5"/>
      <c r="J2" s="5"/>
    </row>
    <row r="3" spans="1:10" ht="15">
      <c r="A3" s="1" t="s">
        <v>24</v>
      </c>
      <c r="B3" s="1" t="s">
        <v>26</v>
      </c>
      <c r="C3" s="1" t="s">
        <v>139</v>
      </c>
      <c r="D3" s="1" t="s">
        <v>140</v>
      </c>
      <c r="E3" s="1" t="s">
        <v>141</v>
      </c>
      <c r="F3" s="1" t="s">
        <v>142</v>
      </c>
      <c r="G3" s="1" t="s">
        <v>143</v>
      </c>
      <c r="H3" s="1" t="s">
        <v>9</v>
      </c>
      <c r="I3" s="1" t="s">
        <v>144</v>
      </c>
      <c r="J3" s="5"/>
    </row>
    <row r="4" spans="1:10" ht="52.7" customHeight="1">
      <c r="A4" s="8" t="s">
        <v>145</v>
      </c>
      <c r="B4" s="8" t="s">
        <v>146</v>
      </c>
      <c r="C4" s="8" t="s">
        <v>147</v>
      </c>
      <c r="D4" s="8" t="s">
        <v>148</v>
      </c>
      <c r="E4" s="8" t="s">
        <v>149</v>
      </c>
      <c r="F4" s="8" t="s">
        <v>150</v>
      </c>
      <c r="G4" s="8" t="s">
        <v>151</v>
      </c>
      <c r="H4" s="8" t="s">
        <v>152</v>
      </c>
      <c r="I4" s="8" t="s">
        <v>153</v>
      </c>
      <c r="J4" s="5"/>
    </row>
    <row r="5" spans="1:10" ht="39.6" customHeight="1">
      <c r="A5" s="8" t="s">
        <v>154</v>
      </c>
      <c r="B5" s="8" t="s">
        <v>155</v>
      </c>
      <c r="C5" s="8" t="s">
        <v>156</v>
      </c>
      <c r="D5" s="8" t="s">
        <v>148</v>
      </c>
      <c r="E5" s="8" t="s">
        <v>157</v>
      </c>
      <c r="F5" s="8" t="s">
        <v>150</v>
      </c>
      <c r="G5" s="8" t="s">
        <v>158</v>
      </c>
      <c r="H5" s="8" t="s">
        <v>152</v>
      </c>
      <c r="I5" s="8" t="s">
        <v>159</v>
      </c>
      <c r="J5" s="5"/>
    </row>
    <row r="6" spans="1:10" ht="39.6" customHeight="1">
      <c r="A6" s="8" t="s">
        <v>160</v>
      </c>
      <c r="B6" s="8" t="s">
        <v>161</v>
      </c>
      <c r="C6" s="8" t="s">
        <v>162</v>
      </c>
      <c r="D6" s="8" t="s">
        <v>163</v>
      </c>
      <c r="E6" s="8" t="s">
        <v>164</v>
      </c>
      <c r="F6" s="8" t="s">
        <v>165</v>
      </c>
      <c r="G6" s="8" t="s">
        <v>166</v>
      </c>
      <c r="H6" s="8" t="s">
        <v>152</v>
      </c>
      <c r="I6" s="8" t="s">
        <v>167</v>
      </c>
      <c r="J6" s="5"/>
    </row>
    <row r="7" spans="1:10" ht="39.6" customHeight="1">
      <c r="A7" s="8" t="s">
        <v>168</v>
      </c>
      <c r="B7" s="8" t="s">
        <v>169</v>
      </c>
      <c r="C7" s="8" t="s">
        <v>170</v>
      </c>
      <c r="D7" s="8" t="s">
        <v>36</v>
      </c>
      <c r="E7" s="8" t="s">
        <v>171</v>
      </c>
      <c r="F7" s="8" t="s">
        <v>172</v>
      </c>
      <c r="G7" s="8" t="s">
        <v>173</v>
      </c>
      <c r="H7" s="8" t="s">
        <v>152</v>
      </c>
      <c r="I7" s="8" t="s">
        <v>174</v>
      </c>
      <c r="J7" s="5"/>
    </row>
    <row r="8" spans="1:10" ht="26.45" customHeight="1">
      <c r="A8" s="8" t="s">
        <v>175</v>
      </c>
      <c r="B8" s="8" t="s">
        <v>176</v>
      </c>
      <c r="C8" s="8" t="s">
        <v>177</v>
      </c>
      <c r="D8" s="8" t="s">
        <v>178</v>
      </c>
      <c r="E8" s="8" t="s">
        <v>179</v>
      </c>
      <c r="F8" s="8" t="s">
        <v>180</v>
      </c>
      <c r="G8" s="8" t="s">
        <v>181</v>
      </c>
      <c r="H8" s="8" t="s">
        <v>152</v>
      </c>
      <c r="I8" s="8" t="s">
        <v>182</v>
      </c>
      <c r="J8" s="5"/>
    </row>
    <row r="9" spans="1:10" ht="26.45" customHeight="1">
      <c r="A9" s="8" t="s">
        <v>183</v>
      </c>
      <c r="B9" s="8" t="s">
        <v>184</v>
      </c>
      <c r="C9" s="8" t="s">
        <v>185</v>
      </c>
      <c r="D9" s="8" t="s">
        <v>178</v>
      </c>
      <c r="E9" s="8" t="s">
        <v>186</v>
      </c>
      <c r="F9" s="8" t="s">
        <v>180</v>
      </c>
      <c r="G9" s="8" t="s">
        <v>181</v>
      </c>
      <c r="H9" s="8" t="s">
        <v>152</v>
      </c>
      <c r="I9" s="8" t="s">
        <v>187</v>
      </c>
      <c r="J9" s="5"/>
    </row>
    <row r="10" spans="1:10" ht="26.45" customHeight="1">
      <c r="A10" s="8" t="s">
        <v>188</v>
      </c>
      <c r="B10" s="8" t="s">
        <v>189</v>
      </c>
      <c r="C10" s="8" t="s">
        <v>190</v>
      </c>
      <c r="D10" s="8" t="s">
        <v>191</v>
      </c>
      <c r="E10" s="8" t="s">
        <v>192</v>
      </c>
      <c r="F10" s="8" t="s">
        <v>193</v>
      </c>
      <c r="G10" s="8" t="s">
        <v>194</v>
      </c>
      <c r="H10" s="8" t="s">
        <v>152</v>
      </c>
      <c r="I10" s="8" t="s">
        <v>195</v>
      </c>
      <c r="J10" s="5"/>
    </row>
    <row r="11" spans="1:10" ht="26.45" customHeight="1">
      <c r="A11" s="8" t="s">
        <v>196</v>
      </c>
      <c r="B11" s="8" t="s">
        <v>197</v>
      </c>
      <c r="C11" s="8" t="s">
        <v>198</v>
      </c>
      <c r="D11" s="8" t="s">
        <v>199</v>
      </c>
      <c r="E11" s="8" t="s">
        <v>200</v>
      </c>
      <c r="F11" s="8" t="s">
        <v>201</v>
      </c>
      <c r="G11" s="8" t="s">
        <v>202</v>
      </c>
      <c r="H11" s="8" t="s">
        <v>152</v>
      </c>
      <c r="I11" s="8" t="s">
        <v>203</v>
      </c>
      <c r="J11" s="5"/>
    </row>
    <row r="12" spans="1:10" ht="52.7" customHeight="1">
      <c r="A12" s="8" t="s">
        <v>204</v>
      </c>
      <c r="B12" s="8" t="s">
        <v>205</v>
      </c>
      <c r="C12" s="8" t="s">
        <v>206</v>
      </c>
      <c r="D12" s="8" t="s">
        <v>207</v>
      </c>
      <c r="E12" s="8" t="s">
        <v>208</v>
      </c>
      <c r="F12" s="8" t="s">
        <v>209</v>
      </c>
      <c r="G12" s="8" t="s">
        <v>210</v>
      </c>
      <c r="H12" s="8" t="s">
        <v>152</v>
      </c>
      <c r="I12" s="8" t="s">
        <v>211</v>
      </c>
      <c r="J12" s="5"/>
    </row>
    <row r="13" spans="1:10" ht="39.6" customHeight="1">
      <c r="A13" s="8" t="s">
        <v>212</v>
      </c>
      <c r="B13" s="8" t="s">
        <v>213</v>
      </c>
      <c r="C13" s="8" t="s">
        <v>214</v>
      </c>
      <c r="D13" s="8" t="s">
        <v>215</v>
      </c>
      <c r="E13" s="8" t="s">
        <v>216</v>
      </c>
      <c r="F13" s="8" t="s">
        <v>180</v>
      </c>
      <c r="G13" s="8" t="s">
        <v>181</v>
      </c>
      <c r="H13" s="8" t="s">
        <v>152</v>
      </c>
      <c r="I13" s="8" t="s">
        <v>217</v>
      </c>
      <c r="J13" s="5"/>
    </row>
    <row r="14" spans="1:10" ht="39.6" customHeight="1">
      <c r="A14" s="8" t="s">
        <v>218</v>
      </c>
      <c r="B14" s="8" t="s">
        <v>219</v>
      </c>
      <c r="C14" s="8" t="s">
        <v>220</v>
      </c>
      <c r="D14" s="8" t="s">
        <v>221</v>
      </c>
      <c r="E14" s="8" t="s">
        <v>222</v>
      </c>
      <c r="F14" s="8" t="s">
        <v>223</v>
      </c>
      <c r="G14" s="8" t="s">
        <v>224</v>
      </c>
      <c r="H14" s="8" t="s">
        <v>152</v>
      </c>
      <c r="I14" s="8" t="s">
        <v>225</v>
      </c>
      <c r="J14" s="5"/>
    </row>
    <row r="15" spans="1:10" ht="39.6" customHeight="1">
      <c r="A15" s="8" t="s">
        <v>226</v>
      </c>
      <c r="B15" s="8" t="s">
        <v>227</v>
      </c>
      <c r="C15" s="8" t="s">
        <v>228</v>
      </c>
      <c r="D15" s="8" t="s">
        <v>229</v>
      </c>
      <c r="E15" s="8" t="s">
        <v>230</v>
      </c>
      <c r="F15" s="8" t="s">
        <v>231</v>
      </c>
      <c r="G15" s="8" t="s">
        <v>232</v>
      </c>
      <c r="H15" s="8" t="s">
        <v>152</v>
      </c>
      <c r="I15" s="8" t="s">
        <v>233</v>
      </c>
      <c r="J15" s="5"/>
    </row>
    <row r="16" spans="1:10">
      <c r="J16" s="5"/>
    </row>
    <row r="17" spans="10:10">
      <c r="J17" s="5"/>
    </row>
    <row r="18" spans="10:10">
      <c r="J18" s="5"/>
    </row>
    <row r="19" spans="10:10">
      <c r="J19" s="5"/>
    </row>
    <row r="20" spans="10:10">
      <c r="J20" s="5"/>
    </row>
    <row r="21" spans="10:10">
      <c r="J21" s="5"/>
    </row>
    <row r="22" spans="10:10">
      <c r="J22" s="5"/>
    </row>
    <row r="23" spans="10:10">
      <c r="J23" s="5"/>
    </row>
    <row r="24" spans="10:10">
      <c r="J24" s="5"/>
    </row>
    <row r="25" spans="10:10">
      <c r="J25" s="5"/>
    </row>
    <row r="26" spans="10:10">
      <c r="J26" s="5"/>
    </row>
    <row r="27" spans="10:10">
      <c r="J27" s="5"/>
    </row>
    <row r="28" spans="10:10">
      <c r="J28" s="5"/>
    </row>
    <row r="29" spans="10:10">
      <c r="J29" s="5"/>
    </row>
    <row r="30" spans="10:10">
      <c r="J30" s="5"/>
    </row>
    <row r="31" spans="10:10">
      <c r="J31" s="5"/>
    </row>
    <row r="32" spans="10:10">
      <c r="J32" s="5"/>
    </row>
    <row r="33" spans="10:10">
      <c r="J33" s="5"/>
    </row>
    <row r="34" spans="10:10">
      <c r="J34" s="5"/>
    </row>
    <row r="35" spans="10:10">
      <c r="J35" s="5"/>
    </row>
    <row r="36" spans="10:10">
      <c r="J36" s="5"/>
    </row>
    <row r="37" spans="10:10">
      <c r="J37" s="5"/>
    </row>
    <row r="38" spans="10:10">
      <c r="J38" s="5"/>
    </row>
    <row r="39" spans="10:10">
      <c r="J39" s="5"/>
    </row>
    <row r="40" spans="10:10">
      <c r="J40" s="5"/>
    </row>
    <row r="41" spans="10:10">
      <c r="J41" s="5"/>
    </row>
    <row r="42" spans="10:10">
      <c r="J42" s="5"/>
    </row>
    <row r="43" spans="10:10">
      <c r="J43" s="5"/>
    </row>
    <row r="44" spans="10:10">
      <c r="J44" s="5"/>
    </row>
    <row r="45" spans="10:10">
      <c r="J45" s="5"/>
    </row>
    <row r="46" spans="10:10">
      <c r="J46" s="5"/>
    </row>
    <row r="47" spans="10:10">
      <c r="J47" s="5"/>
    </row>
    <row r="48" spans="10:10">
      <c r="J48" s="5"/>
    </row>
    <row r="49" spans="10:10">
      <c r="J49" s="5"/>
    </row>
    <row r="50" spans="10:10">
      <c r="J50" s="5"/>
    </row>
    <row r="51" spans="10:10">
      <c r="J51" s="5"/>
    </row>
    <row r="52" spans="10:10">
      <c r="J52" s="5"/>
    </row>
    <row r="53" spans="10:10">
      <c r="J53" s="5"/>
    </row>
    <row r="54" spans="10:10">
      <c r="J54" s="5"/>
    </row>
    <row r="55" spans="10:10">
      <c r="J55" s="5"/>
    </row>
    <row r="56" spans="10:10">
      <c r="J56" s="5"/>
    </row>
    <row r="57" spans="10:10">
      <c r="J57" s="5"/>
    </row>
    <row r="58" spans="10:10">
      <c r="J58" s="5"/>
    </row>
    <row r="59" spans="10:10">
      <c r="J59" s="5"/>
    </row>
    <row r="60" spans="10:10">
      <c r="J60" s="5"/>
    </row>
    <row r="61" spans="10:10">
      <c r="J61" s="5"/>
    </row>
    <row r="62" spans="10:10">
      <c r="J62" s="5"/>
    </row>
    <row r="63" spans="10:10">
      <c r="J63" s="5"/>
    </row>
    <row r="64" spans="10:10">
      <c r="J64" s="5"/>
    </row>
    <row r="65" spans="10:10">
      <c r="J65" s="5"/>
    </row>
    <row r="66" spans="10:10">
      <c r="J66" s="5"/>
    </row>
    <row r="67" spans="10:10">
      <c r="J67" s="5"/>
    </row>
    <row r="68" spans="10:10">
      <c r="J68" s="5"/>
    </row>
    <row r="69" spans="10:10">
      <c r="J69" s="5"/>
    </row>
    <row r="70" spans="10:10">
      <c r="J70" s="5"/>
    </row>
    <row r="71" spans="10:10">
      <c r="J71" s="5"/>
    </row>
    <row r="72" spans="10:10">
      <c r="J72" s="5"/>
    </row>
    <row r="73" spans="10:10">
      <c r="J73" s="5"/>
    </row>
    <row r="74" spans="10:10">
      <c r="J74" s="5"/>
    </row>
    <row r="75" spans="10:10">
      <c r="J75" s="5"/>
    </row>
    <row r="76" spans="10:10">
      <c r="J76" s="5"/>
    </row>
    <row r="77" spans="10:10">
      <c r="J77" s="5"/>
    </row>
    <row r="78" spans="10:10">
      <c r="J78" s="5"/>
    </row>
    <row r="79" spans="10:10">
      <c r="J79" s="5"/>
    </row>
    <row r="80" spans="10:10">
      <c r="J80" s="5"/>
    </row>
    <row r="81" spans="10:10">
      <c r="J81" s="5"/>
    </row>
    <row r="82" spans="10:10">
      <c r="J82" s="5"/>
    </row>
    <row r="83" spans="10:10">
      <c r="J83" s="5"/>
    </row>
    <row r="84" spans="10:10">
      <c r="J84" s="5"/>
    </row>
    <row r="85" spans="10:10">
      <c r="J85" s="5"/>
    </row>
    <row r="86" spans="10:10">
      <c r="J86" s="5"/>
    </row>
    <row r="87" spans="10:10">
      <c r="J87" s="5"/>
    </row>
    <row r="88" spans="10:10">
      <c r="J88" s="5"/>
    </row>
    <row r="89" spans="10:10">
      <c r="J89" s="5"/>
    </row>
    <row r="90" spans="10:10">
      <c r="J90" s="5"/>
    </row>
    <row r="91" spans="10:10">
      <c r="J91" s="5"/>
    </row>
    <row r="92" spans="10:10">
      <c r="J92" s="5"/>
    </row>
    <row r="93" spans="10:10">
      <c r="J93" s="5"/>
    </row>
    <row r="94" spans="10:10">
      <c r="J94" s="5"/>
    </row>
    <row r="95" spans="10:10">
      <c r="J95" s="5"/>
    </row>
    <row r="96" spans="10:10">
      <c r="J96" s="5"/>
    </row>
    <row r="97" spans="1:10">
      <c r="J97" s="5"/>
    </row>
    <row r="98" spans="1:10">
      <c r="J98" s="5"/>
    </row>
    <row r="99" spans="1:10">
      <c r="J99" s="5"/>
    </row>
    <row r="100" spans="1:10">
      <c r="J100" s="5"/>
    </row>
    <row r="101" spans="1:10">
      <c r="J101" s="5"/>
    </row>
    <row r="102" spans="1:10">
      <c r="J102" s="5"/>
    </row>
    <row r="103" spans="1:10">
      <c r="J103" s="5"/>
    </row>
    <row r="104" spans="1:10">
      <c r="J104" s="5"/>
    </row>
    <row r="105" spans="1:10">
      <c r="J105" s="5"/>
    </row>
    <row r="106" spans="1:10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 spans="1:10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 spans="1:10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 spans="1:10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 spans="1:10">
      <c r="A110" s="5"/>
      <c r="B110" s="5"/>
      <c r="C110" s="5"/>
      <c r="D110" s="5"/>
      <c r="E110" s="5"/>
      <c r="F110" s="5"/>
      <c r="G110" s="5"/>
      <c r="H110" s="5"/>
      <c r="I110" s="5"/>
      <c r="J110" s="5"/>
    </row>
  </sheetData>
  <mergeCells count="1">
    <mergeCell ref="A1:I1"/>
  </mergeCells>
  <dataValidations count="1">
    <dataValidation type="list" sqref="H4:H15" xr:uid="{00000000-0002-0000-0300-000000000000}">
      <formula1>"Diseñada,Pendiente,En ejecución,Ejecutada,Bloqueada"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0"/>
  <sheetViews>
    <sheetView workbookViewId="0">
      <pane ySplit="3" topLeftCell="A4" activePane="bottomLeft" state="frozen"/>
      <selection pane="bottomLeft"/>
    </sheetView>
  </sheetViews>
  <sheetFormatPr baseColWidth="10" defaultColWidth="9" defaultRowHeight="14.25"/>
  <cols>
    <col min="1" max="1" width="11" customWidth="1"/>
    <col min="2" max="2" width="14" customWidth="1"/>
    <col min="3" max="3" width="32" customWidth="1"/>
    <col min="4" max="4" width="30" customWidth="1"/>
    <col min="5" max="5" width="32" customWidth="1"/>
    <col min="6" max="6" width="22" customWidth="1"/>
    <col min="7" max="7" width="18" customWidth="1"/>
    <col min="8" max="8" width="14" customWidth="1"/>
  </cols>
  <sheetData>
    <row r="1" spans="1:10" ht="20.25">
      <c r="A1" s="9" t="s">
        <v>234</v>
      </c>
      <c r="B1" s="9"/>
      <c r="C1" s="9"/>
      <c r="D1" s="9"/>
      <c r="E1" s="9"/>
      <c r="F1" s="9"/>
      <c r="G1" s="9"/>
      <c r="H1" s="9"/>
      <c r="I1" s="5"/>
      <c r="J1" s="5"/>
    </row>
    <row r="2" spans="1:10">
      <c r="A2" s="5"/>
      <c r="B2" s="5"/>
      <c r="C2" s="5"/>
      <c r="D2" s="5"/>
      <c r="E2" s="5"/>
      <c r="F2" s="5"/>
      <c r="G2" s="5"/>
      <c r="H2" s="5"/>
      <c r="I2" s="5"/>
      <c r="J2" s="5"/>
    </row>
    <row r="3" spans="1:10" ht="15">
      <c r="A3" s="1" t="s">
        <v>24</v>
      </c>
      <c r="B3" s="1" t="s">
        <v>235</v>
      </c>
      <c r="C3" s="1" t="s">
        <v>236</v>
      </c>
      <c r="D3" s="1" t="s">
        <v>237</v>
      </c>
      <c r="E3" s="1" t="s">
        <v>238</v>
      </c>
      <c r="F3" s="1" t="s">
        <v>239</v>
      </c>
      <c r="G3" s="1" t="s">
        <v>240</v>
      </c>
      <c r="H3" s="1" t="s">
        <v>9</v>
      </c>
      <c r="I3" s="5"/>
      <c r="J3" s="5"/>
    </row>
    <row r="4" spans="1:10" ht="42.75">
      <c r="A4" s="5" t="s">
        <v>241</v>
      </c>
      <c r="B4" s="5" t="s">
        <v>242</v>
      </c>
      <c r="C4" s="5" t="s">
        <v>243</v>
      </c>
      <c r="D4" s="5" t="s">
        <v>244</v>
      </c>
      <c r="E4" s="5" t="s">
        <v>245</v>
      </c>
      <c r="F4" s="5" t="s">
        <v>246</v>
      </c>
      <c r="G4" s="5" t="s">
        <v>247</v>
      </c>
      <c r="H4" s="5" t="s">
        <v>248</v>
      </c>
      <c r="I4" s="5"/>
      <c r="J4" s="5"/>
    </row>
    <row r="5" spans="1:10" ht="42.75">
      <c r="A5" s="5" t="s">
        <v>249</v>
      </c>
      <c r="B5" s="5" t="s">
        <v>242</v>
      </c>
      <c r="C5" s="5" t="s">
        <v>250</v>
      </c>
      <c r="D5" s="5" t="s">
        <v>244</v>
      </c>
      <c r="E5" s="5" t="s">
        <v>251</v>
      </c>
      <c r="F5" s="5" t="s">
        <v>252</v>
      </c>
      <c r="G5" s="5" t="s">
        <v>247</v>
      </c>
      <c r="H5" s="5" t="s">
        <v>248</v>
      </c>
      <c r="I5" s="5"/>
      <c r="J5" s="5"/>
    </row>
    <row r="6" spans="1:10" ht="42.75">
      <c r="A6" s="5" t="s">
        <v>253</v>
      </c>
      <c r="B6" s="5" t="s">
        <v>254</v>
      </c>
      <c r="C6" s="5" t="s">
        <v>255</v>
      </c>
      <c r="D6" s="5" t="s">
        <v>256</v>
      </c>
      <c r="E6" s="5" t="s">
        <v>257</v>
      </c>
      <c r="F6" s="5" t="s">
        <v>258</v>
      </c>
      <c r="G6" s="5" t="s">
        <v>247</v>
      </c>
      <c r="H6" s="5" t="s">
        <v>248</v>
      </c>
      <c r="I6" s="5"/>
      <c r="J6" s="5"/>
    </row>
    <row r="7" spans="1:10" ht="28.5">
      <c r="A7" s="5" t="s">
        <v>259</v>
      </c>
      <c r="B7" s="5" t="s">
        <v>260</v>
      </c>
      <c r="C7" s="5" t="s">
        <v>261</v>
      </c>
      <c r="D7" s="5" t="s">
        <v>262</v>
      </c>
      <c r="E7" s="5" t="s">
        <v>263</v>
      </c>
      <c r="F7" s="5" t="s">
        <v>264</v>
      </c>
      <c r="G7" s="5" t="s">
        <v>247</v>
      </c>
      <c r="H7" s="5" t="s">
        <v>248</v>
      </c>
      <c r="I7" s="5"/>
      <c r="J7" s="5"/>
    </row>
    <row r="8" spans="1:10" ht="28.5">
      <c r="A8" s="5" t="s">
        <v>265</v>
      </c>
      <c r="B8" s="5" t="s">
        <v>266</v>
      </c>
      <c r="C8" s="5" t="s">
        <v>267</v>
      </c>
      <c r="D8" s="5" t="s">
        <v>268</v>
      </c>
      <c r="E8" s="5" t="s">
        <v>269</v>
      </c>
      <c r="F8" s="5" t="s">
        <v>270</v>
      </c>
      <c r="G8" s="5" t="s">
        <v>247</v>
      </c>
      <c r="H8" s="5" t="s">
        <v>248</v>
      </c>
      <c r="I8" s="5"/>
      <c r="J8" s="5"/>
    </row>
    <row r="9" spans="1:10" ht="28.5">
      <c r="A9" s="5" t="s">
        <v>271</v>
      </c>
      <c r="B9" s="5" t="s">
        <v>272</v>
      </c>
      <c r="C9" s="5" t="s">
        <v>273</v>
      </c>
      <c r="D9" s="5" t="s">
        <v>274</v>
      </c>
      <c r="E9" s="5" t="s">
        <v>275</v>
      </c>
      <c r="F9" s="5" t="s">
        <v>276</v>
      </c>
      <c r="G9" s="5" t="s">
        <v>247</v>
      </c>
      <c r="H9" s="5" t="s">
        <v>248</v>
      </c>
      <c r="I9" s="5"/>
      <c r="J9" s="5"/>
    </row>
    <row r="10" spans="1:10">
      <c r="I10" s="5"/>
      <c r="J10" s="5"/>
    </row>
    <row r="11" spans="1:10">
      <c r="I11" s="5"/>
      <c r="J11" s="5"/>
    </row>
    <row r="12" spans="1:10">
      <c r="I12" s="5"/>
      <c r="J12" s="5"/>
    </row>
    <row r="13" spans="1:10">
      <c r="I13" s="5"/>
      <c r="J13" s="5"/>
    </row>
    <row r="14" spans="1:10">
      <c r="I14" s="5"/>
      <c r="J14" s="5"/>
    </row>
    <row r="15" spans="1:10">
      <c r="I15" s="5"/>
      <c r="J15" s="5"/>
    </row>
    <row r="16" spans="1:10">
      <c r="I16" s="5"/>
      <c r="J16" s="5"/>
    </row>
    <row r="17" spans="9:10">
      <c r="I17" s="5"/>
      <c r="J17" s="5"/>
    </row>
    <row r="18" spans="9:10">
      <c r="I18" s="5"/>
      <c r="J18" s="5"/>
    </row>
    <row r="19" spans="9:10">
      <c r="I19" s="5"/>
      <c r="J19" s="5"/>
    </row>
    <row r="20" spans="9:10">
      <c r="I20" s="5"/>
      <c r="J20" s="5"/>
    </row>
    <row r="21" spans="9:10">
      <c r="I21" s="5"/>
      <c r="J21" s="5"/>
    </row>
    <row r="22" spans="9:10">
      <c r="I22" s="5"/>
      <c r="J22" s="5"/>
    </row>
    <row r="23" spans="9:10">
      <c r="I23" s="5"/>
      <c r="J23" s="5"/>
    </row>
    <row r="24" spans="9:10">
      <c r="I24" s="5"/>
      <c r="J24" s="5"/>
    </row>
    <row r="25" spans="9:10">
      <c r="I25" s="5"/>
      <c r="J25" s="5"/>
    </row>
    <row r="26" spans="9:10">
      <c r="I26" s="5"/>
      <c r="J26" s="5"/>
    </row>
    <row r="27" spans="9:10">
      <c r="I27" s="5"/>
      <c r="J27" s="5"/>
    </row>
    <row r="28" spans="9:10">
      <c r="I28" s="5"/>
      <c r="J28" s="5"/>
    </row>
    <row r="29" spans="9:10">
      <c r="I29" s="5"/>
      <c r="J29" s="5"/>
    </row>
    <row r="30" spans="9:10">
      <c r="I30" s="5"/>
      <c r="J30" s="5"/>
    </row>
    <row r="31" spans="9:10">
      <c r="I31" s="5"/>
      <c r="J31" s="5"/>
    </row>
    <row r="32" spans="9:10">
      <c r="I32" s="5"/>
      <c r="J32" s="5"/>
    </row>
    <row r="33" spans="9:10">
      <c r="I33" s="5"/>
      <c r="J33" s="5"/>
    </row>
    <row r="34" spans="9:10">
      <c r="I34" s="5"/>
      <c r="J34" s="5"/>
    </row>
    <row r="35" spans="9:10">
      <c r="I35" s="5"/>
      <c r="J35" s="5"/>
    </row>
    <row r="36" spans="9:10">
      <c r="I36" s="5"/>
      <c r="J36" s="5"/>
    </row>
    <row r="37" spans="9:10">
      <c r="I37" s="5"/>
      <c r="J37" s="5"/>
    </row>
    <row r="38" spans="9:10">
      <c r="I38" s="5"/>
      <c r="J38" s="5"/>
    </row>
    <row r="39" spans="9:10">
      <c r="I39" s="5"/>
      <c r="J39" s="5"/>
    </row>
    <row r="40" spans="9:10">
      <c r="I40" s="5"/>
      <c r="J40" s="5"/>
    </row>
    <row r="41" spans="9:10">
      <c r="I41" s="5"/>
      <c r="J41" s="5"/>
    </row>
    <row r="42" spans="9:10">
      <c r="I42" s="5"/>
      <c r="J42" s="5"/>
    </row>
    <row r="43" spans="9:10">
      <c r="I43" s="5"/>
      <c r="J43" s="5"/>
    </row>
    <row r="44" spans="9:10">
      <c r="I44" s="5"/>
      <c r="J44" s="5"/>
    </row>
    <row r="45" spans="9:10">
      <c r="I45" s="5"/>
      <c r="J45" s="5"/>
    </row>
    <row r="46" spans="9:10">
      <c r="I46" s="5"/>
      <c r="J46" s="5"/>
    </row>
    <row r="47" spans="9:10">
      <c r="I47" s="5"/>
      <c r="J47" s="5"/>
    </row>
    <row r="48" spans="9:10">
      <c r="I48" s="5"/>
      <c r="J48" s="5"/>
    </row>
    <row r="49" spans="9:10">
      <c r="I49" s="5"/>
      <c r="J49" s="5"/>
    </row>
    <row r="50" spans="9:10">
      <c r="I50" s="5"/>
      <c r="J50" s="5"/>
    </row>
    <row r="51" spans="9:10">
      <c r="I51" s="5"/>
      <c r="J51" s="5"/>
    </row>
    <row r="52" spans="9:10">
      <c r="I52" s="5"/>
      <c r="J52" s="5"/>
    </row>
    <row r="53" spans="9:10">
      <c r="I53" s="5"/>
      <c r="J53" s="5"/>
    </row>
    <row r="54" spans="9:10">
      <c r="I54" s="5"/>
      <c r="J54" s="5"/>
    </row>
    <row r="55" spans="9:10">
      <c r="I55" s="5"/>
      <c r="J55" s="5"/>
    </row>
    <row r="56" spans="9:10">
      <c r="I56" s="5"/>
      <c r="J56" s="5"/>
    </row>
    <row r="57" spans="9:10">
      <c r="I57" s="5"/>
      <c r="J57" s="5"/>
    </row>
    <row r="58" spans="9:10">
      <c r="I58" s="5"/>
      <c r="J58" s="5"/>
    </row>
    <row r="59" spans="9:10">
      <c r="I59" s="5"/>
      <c r="J59" s="5"/>
    </row>
    <row r="60" spans="9:10">
      <c r="I60" s="5"/>
      <c r="J60" s="5"/>
    </row>
    <row r="61" spans="9:10">
      <c r="I61" s="5"/>
      <c r="J61" s="5"/>
    </row>
    <row r="62" spans="9:10">
      <c r="I62" s="5"/>
      <c r="J62" s="5"/>
    </row>
    <row r="63" spans="9:10">
      <c r="I63" s="5"/>
      <c r="J63" s="5"/>
    </row>
    <row r="64" spans="9:10">
      <c r="I64" s="5"/>
      <c r="J64" s="5"/>
    </row>
    <row r="65" spans="9:10">
      <c r="I65" s="5"/>
      <c r="J65" s="5"/>
    </row>
    <row r="66" spans="9:10">
      <c r="I66" s="5"/>
      <c r="J66" s="5"/>
    </row>
    <row r="67" spans="9:10">
      <c r="I67" s="5"/>
      <c r="J67" s="5"/>
    </row>
    <row r="68" spans="9:10">
      <c r="I68" s="5"/>
      <c r="J68" s="5"/>
    </row>
    <row r="69" spans="9:10">
      <c r="I69" s="5"/>
      <c r="J69" s="5"/>
    </row>
    <row r="70" spans="9:10">
      <c r="I70" s="5"/>
      <c r="J70" s="5"/>
    </row>
    <row r="71" spans="9:10">
      <c r="I71" s="5"/>
      <c r="J71" s="5"/>
    </row>
    <row r="72" spans="9:10">
      <c r="I72" s="5"/>
      <c r="J72" s="5"/>
    </row>
    <row r="73" spans="9:10">
      <c r="I73" s="5"/>
      <c r="J73" s="5"/>
    </row>
    <row r="74" spans="9:10">
      <c r="I74" s="5"/>
      <c r="J74" s="5"/>
    </row>
    <row r="75" spans="9:10">
      <c r="I75" s="5"/>
      <c r="J75" s="5"/>
    </row>
    <row r="76" spans="9:10">
      <c r="I76" s="5"/>
      <c r="J76" s="5"/>
    </row>
    <row r="77" spans="9:10">
      <c r="I77" s="5"/>
      <c r="J77" s="5"/>
    </row>
    <row r="78" spans="9:10">
      <c r="I78" s="5"/>
      <c r="J78" s="5"/>
    </row>
    <row r="79" spans="9:10">
      <c r="I79" s="5"/>
      <c r="J79" s="5"/>
    </row>
    <row r="80" spans="9:10">
      <c r="I80" s="5"/>
      <c r="J80" s="5"/>
    </row>
    <row r="81" spans="9:10">
      <c r="I81" s="5"/>
      <c r="J81" s="5"/>
    </row>
    <row r="82" spans="9:10">
      <c r="I82" s="5"/>
      <c r="J82" s="5"/>
    </row>
    <row r="83" spans="9:10">
      <c r="I83" s="5"/>
      <c r="J83" s="5"/>
    </row>
    <row r="84" spans="9:10">
      <c r="I84" s="5"/>
      <c r="J84" s="5"/>
    </row>
    <row r="85" spans="9:10">
      <c r="I85" s="5"/>
      <c r="J85" s="5"/>
    </row>
    <row r="86" spans="9:10">
      <c r="I86" s="5"/>
      <c r="J86" s="5"/>
    </row>
    <row r="87" spans="9:10">
      <c r="I87" s="5"/>
      <c r="J87" s="5"/>
    </row>
    <row r="88" spans="9:10">
      <c r="I88" s="5"/>
      <c r="J88" s="5"/>
    </row>
    <row r="89" spans="9:10">
      <c r="I89" s="5"/>
      <c r="J89" s="5"/>
    </row>
    <row r="90" spans="9:10">
      <c r="I90" s="5"/>
      <c r="J90" s="5"/>
    </row>
    <row r="91" spans="9:10">
      <c r="I91" s="5"/>
      <c r="J91" s="5"/>
    </row>
    <row r="92" spans="9:10">
      <c r="I92" s="5"/>
      <c r="J92" s="5"/>
    </row>
    <row r="93" spans="9:10">
      <c r="I93" s="5"/>
      <c r="J93" s="5"/>
    </row>
    <row r="94" spans="9:10">
      <c r="I94" s="5"/>
      <c r="J94" s="5"/>
    </row>
    <row r="95" spans="9:10">
      <c r="I95" s="5"/>
      <c r="J95" s="5"/>
    </row>
    <row r="96" spans="9:10">
      <c r="I96" s="5"/>
      <c r="J96" s="5"/>
    </row>
    <row r="97" spans="1:10">
      <c r="I97" s="5"/>
      <c r="J97" s="5"/>
    </row>
    <row r="98" spans="1:10">
      <c r="I98" s="5"/>
      <c r="J98" s="5"/>
    </row>
    <row r="99" spans="1:10">
      <c r="I99" s="5"/>
      <c r="J99" s="5"/>
    </row>
    <row r="100" spans="1:10">
      <c r="I100" s="5"/>
      <c r="J100" s="5"/>
    </row>
    <row r="101" spans="1:10">
      <c r="I101" s="5"/>
      <c r="J101" s="5"/>
    </row>
    <row r="102" spans="1:10">
      <c r="I102" s="5"/>
      <c r="J102" s="5"/>
    </row>
    <row r="103" spans="1:10">
      <c r="I103" s="5"/>
      <c r="J103" s="5"/>
    </row>
    <row r="104" spans="1:10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 spans="1:10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 spans="1:10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 spans="1:10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 spans="1:10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 spans="1:10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 spans="1:10">
      <c r="A110" s="5"/>
      <c r="B110" s="5"/>
      <c r="C110" s="5"/>
      <c r="D110" s="5"/>
      <c r="E110" s="5"/>
      <c r="F110" s="5"/>
      <c r="G110" s="5"/>
      <c r="H110" s="5"/>
      <c r="I110" s="5"/>
      <c r="J110" s="5"/>
    </row>
  </sheetData>
  <mergeCells count="1">
    <mergeCell ref="A1:H1"/>
  </mergeCells>
  <conditionalFormatting sqref="H4:H103">
    <cfRule type="expression" dxfId="3" priority="1">
      <formula>H4="Validado"</formula>
    </cfRule>
  </conditionalFormatting>
  <dataValidations count="2">
    <dataValidation type="list" sqref="B4:B103" xr:uid="{00000000-0002-0000-0400-000000000000}">
      <formula1>"Prueba,BD,Log,Código,Diagrama,Excel,Captura,Otro"</formula1>
    </dataValidation>
    <dataValidation type="list" sqref="H4:H9" xr:uid="{00000000-0002-0000-0400-000001000000}">
      <formula1>"Pendiente,En curso,Completa"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0"/>
  <sheetViews>
    <sheetView workbookViewId="0">
      <pane ySplit="3" topLeftCell="A4" activePane="bottomLeft" state="frozen"/>
      <selection pane="bottomLeft"/>
    </sheetView>
  </sheetViews>
  <sheetFormatPr baseColWidth="10" defaultColWidth="9" defaultRowHeight="14.25"/>
  <cols>
    <col min="1" max="1" width="24" customWidth="1"/>
    <col min="2" max="2" width="18" customWidth="1"/>
    <col min="3" max="3" width="22" customWidth="1"/>
    <col min="4" max="4" width="24" customWidth="1"/>
    <col min="5" max="6" width="26" customWidth="1"/>
    <col min="7" max="7" width="20" customWidth="1"/>
    <col min="8" max="8" width="28" customWidth="1"/>
    <col min="9" max="9" width="24" customWidth="1"/>
    <col min="10" max="10" width="14" customWidth="1"/>
  </cols>
  <sheetData>
    <row r="1" spans="1:10" ht="20.25">
      <c r="A1" s="9" t="s">
        <v>277</v>
      </c>
      <c r="B1" s="9"/>
      <c r="C1" s="9"/>
      <c r="D1" s="9"/>
      <c r="E1" s="9"/>
      <c r="F1" s="9"/>
      <c r="G1" s="9"/>
      <c r="H1" s="9"/>
      <c r="I1" s="9"/>
      <c r="J1" s="9"/>
    </row>
    <row r="2" spans="1:10">
      <c r="A2" s="5"/>
      <c r="B2" s="5"/>
      <c r="C2" s="5"/>
      <c r="D2" s="5"/>
      <c r="E2" s="5"/>
      <c r="F2" s="5"/>
      <c r="G2" s="5"/>
      <c r="H2" s="5"/>
      <c r="I2" s="5"/>
      <c r="J2" s="5"/>
    </row>
    <row r="3" spans="1:10" ht="30">
      <c r="A3" s="1" t="s">
        <v>278</v>
      </c>
      <c r="B3" s="1" t="s">
        <v>25</v>
      </c>
      <c r="C3" s="1" t="s">
        <v>279</v>
      </c>
      <c r="D3" s="1" t="s">
        <v>280</v>
      </c>
      <c r="E3" s="1" t="s">
        <v>281</v>
      </c>
      <c r="F3" s="1" t="s">
        <v>282</v>
      </c>
      <c r="G3" s="1" t="s">
        <v>283</v>
      </c>
      <c r="H3" s="1" t="s">
        <v>284</v>
      </c>
      <c r="I3" s="1" t="s">
        <v>285</v>
      </c>
      <c r="J3" s="1" t="s">
        <v>9</v>
      </c>
    </row>
    <row r="4" spans="1:10" ht="72">
      <c r="A4" s="5" t="s">
        <v>286</v>
      </c>
      <c r="B4" s="5" t="s">
        <v>34</v>
      </c>
      <c r="C4" s="5" t="s">
        <v>287</v>
      </c>
      <c r="D4" s="5" t="s">
        <v>288</v>
      </c>
      <c r="E4" s="5" t="s">
        <v>289</v>
      </c>
      <c r="F4" s="5" t="s">
        <v>290</v>
      </c>
      <c r="G4" s="5" t="s">
        <v>39</v>
      </c>
      <c r="H4" s="5" t="s">
        <v>291</v>
      </c>
      <c r="I4" s="5" t="s">
        <v>292</v>
      </c>
      <c r="J4" s="5" t="s">
        <v>13</v>
      </c>
    </row>
    <row r="5" spans="1:10" ht="57.75">
      <c r="A5" s="5" t="s">
        <v>293</v>
      </c>
      <c r="B5" s="5" t="s">
        <v>43</v>
      </c>
      <c r="C5" s="5" t="s">
        <v>294</v>
      </c>
      <c r="D5" s="5" t="s">
        <v>295</v>
      </c>
      <c r="E5" s="5" t="s">
        <v>296</v>
      </c>
      <c r="F5" s="5" t="s">
        <v>297</v>
      </c>
      <c r="G5" s="5" t="s">
        <v>48</v>
      </c>
      <c r="H5" s="5" t="s">
        <v>298</v>
      </c>
      <c r="I5" s="5" t="s">
        <v>299</v>
      </c>
      <c r="J5" s="5" t="s">
        <v>17</v>
      </c>
    </row>
    <row r="6" spans="1:10" ht="57.75">
      <c r="A6" s="5" t="s">
        <v>300</v>
      </c>
      <c r="B6" s="5" t="s">
        <v>52</v>
      </c>
      <c r="C6" s="5" t="s">
        <v>301</v>
      </c>
      <c r="D6" s="5" t="s">
        <v>302</v>
      </c>
      <c r="E6" s="5" t="s">
        <v>191</v>
      </c>
      <c r="F6" s="5" t="s">
        <v>303</v>
      </c>
      <c r="G6" s="5" t="s">
        <v>304</v>
      </c>
      <c r="H6" s="5" t="s">
        <v>305</v>
      </c>
      <c r="I6" s="5" t="s">
        <v>306</v>
      </c>
      <c r="J6" s="5" t="s">
        <v>17</v>
      </c>
    </row>
    <row r="7" spans="1:10" ht="43.5">
      <c r="A7" s="5" t="s">
        <v>307</v>
      </c>
      <c r="B7" s="5" t="s">
        <v>61</v>
      </c>
      <c r="C7" s="5" t="s">
        <v>308</v>
      </c>
      <c r="D7" s="5" t="s">
        <v>309</v>
      </c>
      <c r="E7" s="5" t="s">
        <v>310</v>
      </c>
      <c r="F7" s="5" t="s">
        <v>311</v>
      </c>
      <c r="G7" s="5" t="s">
        <v>66</v>
      </c>
      <c r="H7" s="5" t="s">
        <v>312</v>
      </c>
      <c r="I7" s="5" t="s">
        <v>313</v>
      </c>
      <c r="J7" s="5" t="s">
        <v>17</v>
      </c>
    </row>
    <row r="8" spans="1:10" ht="100.5">
      <c r="A8" s="5" t="s">
        <v>314</v>
      </c>
      <c r="B8" s="5" t="s">
        <v>70</v>
      </c>
      <c r="C8" s="5" t="s">
        <v>315</v>
      </c>
      <c r="D8" s="5" t="s">
        <v>316</v>
      </c>
      <c r="E8" s="5" t="s">
        <v>317</v>
      </c>
      <c r="F8" s="5" t="s">
        <v>318</v>
      </c>
      <c r="G8" s="5" t="s">
        <v>319</v>
      </c>
      <c r="H8" s="5" t="s">
        <v>320</v>
      </c>
      <c r="I8" s="5" t="s">
        <v>321</v>
      </c>
      <c r="J8" s="5" t="s">
        <v>17</v>
      </c>
    </row>
    <row r="9" spans="1:10" ht="72">
      <c r="A9" s="5" t="s">
        <v>322</v>
      </c>
      <c r="B9" s="5" t="s">
        <v>79</v>
      </c>
      <c r="C9" s="5" t="s">
        <v>323</v>
      </c>
      <c r="D9" s="5" t="s">
        <v>324</v>
      </c>
      <c r="E9" s="5" t="s">
        <v>325</v>
      </c>
      <c r="F9" s="5" t="s">
        <v>326</v>
      </c>
      <c r="G9" s="5" t="s">
        <v>84</v>
      </c>
      <c r="H9" s="5" t="s">
        <v>327</v>
      </c>
      <c r="I9" s="5" t="s">
        <v>328</v>
      </c>
      <c r="J9" s="5" t="s">
        <v>17</v>
      </c>
    </row>
    <row r="10" spans="1:10" ht="57.75">
      <c r="A10" s="5" t="s">
        <v>329</v>
      </c>
      <c r="B10" s="5" t="s">
        <v>88</v>
      </c>
      <c r="C10" s="5" t="s">
        <v>330</v>
      </c>
      <c r="D10" s="5" t="s">
        <v>331</v>
      </c>
      <c r="E10" s="5" t="s">
        <v>332</v>
      </c>
      <c r="F10" s="5" t="s">
        <v>333</v>
      </c>
      <c r="G10" s="5" t="s">
        <v>334</v>
      </c>
      <c r="H10" s="5" t="s">
        <v>335</v>
      </c>
      <c r="I10" s="5" t="s">
        <v>336</v>
      </c>
      <c r="J10" s="5" t="s">
        <v>17</v>
      </c>
    </row>
    <row r="11" spans="1:10" ht="57.75">
      <c r="A11" s="5" t="s">
        <v>337</v>
      </c>
      <c r="B11" s="5" t="s">
        <v>97</v>
      </c>
      <c r="C11" s="5" t="s">
        <v>338</v>
      </c>
      <c r="D11" s="5" t="s">
        <v>339</v>
      </c>
      <c r="E11" s="5" t="s">
        <v>340</v>
      </c>
      <c r="F11" s="5" t="s">
        <v>341</v>
      </c>
      <c r="G11" s="5" t="s">
        <v>102</v>
      </c>
      <c r="H11" s="5" t="s">
        <v>342</v>
      </c>
      <c r="I11" s="5" t="s">
        <v>343</v>
      </c>
      <c r="J11" s="5" t="s">
        <v>17</v>
      </c>
    </row>
    <row r="106" spans="1:10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 spans="1:10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 spans="1:10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 spans="1:10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 spans="1:10">
      <c r="A110" s="5"/>
      <c r="B110" s="5"/>
      <c r="C110" s="5"/>
      <c r="D110" s="5"/>
      <c r="E110" s="5"/>
      <c r="F110" s="5"/>
      <c r="G110" s="5"/>
      <c r="H110" s="5"/>
      <c r="I110" s="5"/>
      <c r="J110" s="5"/>
    </row>
  </sheetData>
  <mergeCells count="1">
    <mergeCell ref="A1:J1"/>
  </mergeCells>
  <conditionalFormatting sqref="J4:J103">
    <cfRule type="expression" dxfId="2" priority="1">
      <formula>J4="Verde"</formula>
    </cfRule>
    <cfRule type="expression" dxfId="1" priority="2">
      <formula>J4="Amarillo"</formula>
    </cfRule>
    <cfRule type="expression" dxfId="0" priority="3">
      <formula>J4="Rojo"</formula>
    </cfRule>
  </conditionalFormatting>
  <dataValidations count="1">
    <dataValidation type="list" sqref="J4:J11" xr:uid="{00000000-0002-0000-0500-000000000000}">
      <formula1>"Verde,Amarillo,Rojo"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Trazabilidad</vt:lpstr>
      <vt:lpstr>SOLID</vt:lpstr>
      <vt:lpstr>TDD</vt:lpstr>
      <vt:lpstr>Evidencias</vt:lpstr>
      <vt:lpstr>Transferencia_PI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Arel Barrutia Ojeda</dc:creator>
  <cp:lastModifiedBy>ALUMNO - PETER MAURICIO BARRUTIA OJEDA</cp:lastModifiedBy>
  <dcterms:created xsi:type="dcterms:W3CDTF">2026-10-13T16:46:48Z</dcterms:created>
  <dcterms:modified xsi:type="dcterms:W3CDTF">2026-10-13T16:46:48Z</dcterms:modified>
</cp:coreProperties>
</file>